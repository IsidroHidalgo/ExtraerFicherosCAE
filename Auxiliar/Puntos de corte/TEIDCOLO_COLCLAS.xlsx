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_Extractores\Puntos de corte\"/>
    </mc:Choice>
  </mc:AlternateContent>
  <bookViews>
    <workbookView xWindow="0" yWindow="0" windowWidth="28800" windowHeight="12135"/>
  </bookViews>
  <sheets>
    <sheet name="TEIDCOLO_COLCLAS_201602" sheetId="1" r:id="rId1"/>
    <sheet name="Hoja1" sheetId="2" r:id="rId2"/>
  </sheets>
  <calcPr calcId="0"/>
</workbook>
</file>

<file path=xl/calcChain.xml><?xml version="1.0" encoding="utf-8"?>
<calcChain xmlns="http://schemas.openxmlformats.org/spreadsheetml/2006/main">
  <c r="D32" i="1" l="1"/>
  <c r="E23" i="1"/>
  <c r="D31" i="1"/>
  <c r="F22" i="1"/>
  <c r="E22" i="1"/>
  <c r="F19" i="1"/>
  <c r="F20" i="1" s="1"/>
  <c r="F21" i="1" s="1"/>
  <c r="F18" i="1"/>
  <c r="B25" i="2"/>
  <c r="A25" i="2"/>
  <c r="B15" i="2"/>
  <c r="B16" i="2" s="1"/>
  <c r="B17" i="2" s="1"/>
  <c r="B18" i="2" s="1"/>
  <c r="B19" i="2" s="1"/>
  <c r="B20" i="2" s="1"/>
  <c r="B21" i="2" s="1"/>
  <c r="B22" i="2" s="1"/>
  <c r="B23" i="2" s="1"/>
  <c r="B24" i="2" s="1"/>
  <c r="A15" i="2"/>
  <c r="A16" i="2" s="1"/>
  <c r="A17" i="2" s="1"/>
  <c r="A18" i="2" s="1"/>
  <c r="A19" i="2" s="1"/>
  <c r="A20" i="2" s="1"/>
  <c r="A21" i="2" s="1"/>
  <c r="A22" i="2" s="1"/>
  <c r="A23" i="2" s="1"/>
  <c r="A24" i="2" s="1"/>
</calcChain>
</file>

<file path=xl/sharedStrings.xml><?xml version="1.0" encoding="utf-8"?>
<sst xmlns="http://schemas.openxmlformats.org/spreadsheetml/2006/main" count="1276" uniqueCount="275">
  <si>
    <t xml:space="preserve">                                                ESTADÍSTICA MENSUAL DE COLOCACIONES</t>
  </si>
  <si>
    <t xml:space="preserve">                                                ___________________________________</t>
  </si>
  <si>
    <t xml:space="preserve">                                              ( CLASIFICADO POR UAG DE LA COLOCACION )</t>
  </si>
  <si>
    <t xml:space="preserve">     UAG.: OA02003910 - ALBACETE-CARRETAS                                                          MES:    FEBRERO   AÑO: 2016</t>
  </si>
  <si>
    <t xml:space="preserve">                          ----------------------------------------------------------------------------------------------------</t>
  </si>
  <si>
    <t xml:space="preserve">                          |                            COLOCACIONES DE DEMANDANTES                            |              |</t>
  </si>
  <si>
    <t xml:space="preserve">                          |-----------------------------------------------------------------------------------| COLOCACIONES |</t>
  </si>
  <si>
    <t xml:space="preserve">                          |         ALTA Ó SUSPENSIÓN         |      BAJA INFERIOR A 180 DÍAS     |   ALTAS   |              |</t>
  </si>
  <si>
    <t xml:space="preserve">                          |-----------------------------------|-----------------------------------|     +     |    DE NO     |</t>
  </si>
  <si>
    <t xml:space="preserve">                          |    CON    |    SIN    |           |    CON    |    SIN    |           |   BAJAS   |              |</t>
  </si>
  <si>
    <t xml:space="preserve">                          | SERVICIOS | SERVICIOS |   TOTAL   | SERVICIOS | SERVICIOS |   TOTAL   |           | DEMANDANTES  |</t>
  </si>
  <si>
    <t xml:space="preserve">     ---------------------|-----------|-----------|-----------|-----------|-----------|-----------|-----------|              |</t>
  </si>
  <si>
    <t xml:space="preserve">     |        | CON ENVÍO |        44 |       111 |       155 |         2 |         4 |         6 |       161 |--------------|</t>
  </si>
  <si>
    <t xml:space="preserve">     |   CON  |-----------|-----------|-----------|-----------|-----------|-----------|-----------|-----------|              |</t>
  </si>
  <si>
    <t xml:space="preserve">     | OFERTA | SIN ENVÍO |           |         3 |         3 |           |           |           |         3 |              |</t>
  </si>
  <si>
    <t xml:space="preserve">     | PREVIA |-----------|-----------|-----------|-----------|-----------|-----------|-----------|-----------|              |</t>
  </si>
  <si>
    <t xml:space="preserve">     |        | SIN GEST. |         1 |         2 |         3 |           |         1 |         1 |         4 |              |</t>
  </si>
  <si>
    <t xml:space="preserve">     |--------------------|-----------|-----------|-----------|-----------|-----------|-----------|-----------|--------------|</t>
  </si>
  <si>
    <t xml:space="preserve">     | SIN OFERTA PREVIA  |       173 |       626 |       799 |        64 |       463 |       527 |      1326 |         708  |</t>
  </si>
  <si>
    <t xml:space="preserve">     |      TOTALES       |       218 |       742 |       960 |        66 |       468 |       534 |      1494 |         708  |</t>
  </si>
  <si>
    <t xml:space="preserve">     -------------------------------------------------------------------------------------------------------------------------</t>
  </si>
  <si>
    <t>_x000C_</t>
  </si>
  <si>
    <t xml:space="preserve">     UAG.: OA02003915 - ALBACETE-CUBAS                                                             MES:    FEBRERO   AÑO: 2016</t>
  </si>
  <si>
    <t xml:space="preserve">     |        | CON ENVÍO |         3 |        14 |        17 |         2 |         1 |         3 |        20 |--------------|</t>
  </si>
  <si>
    <t xml:space="preserve">     | OFERTA | SIN ENVÍO |           |           |           |           |           |           |           |           2  |</t>
  </si>
  <si>
    <t xml:space="preserve">     |        | SIN GEST. |         1 |         4 |         5 |           |         2 |         2 |         7 |              |</t>
  </si>
  <si>
    <t xml:space="preserve">     | SIN OFERTA PREVIA  |       110 |       770 |       880 |        53 |       590 |       643 |      1523 |         692  |</t>
  </si>
  <si>
    <t xml:space="preserve">     |      TOTALES       |       114 |       788 |       902 |        55 |       593 |       648 |      1550 |         694  |</t>
  </si>
  <si>
    <t xml:space="preserve">     UAG.: OA02008910 - ALCARAZ                                                                    MES:    FEBRERO   AÑO: 2016</t>
  </si>
  <si>
    <t xml:space="preserve">     |        | CON ENVÍO |           |           |           |           |           |           |           |--------------|</t>
  </si>
  <si>
    <t xml:space="preserve">     | OFERTA | SIN ENVÍO |           |         1 |         1 |           |           |           |         1 |              |</t>
  </si>
  <si>
    <t xml:space="preserve">     |        | SIN GEST. |           |         1 |         1 |           |           |           |         1 |              |</t>
  </si>
  <si>
    <t xml:space="preserve">     | SIN OFERTA PREVIA  |        51 |        24 |        75 |         6 |         8 |        14 |        89 |          27  |</t>
  </si>
  <si>
    <t xml:space="preserve">     |      TOTALES       |        51 |        26 |        77 |         6 |         8 |        14 |        91 |          27  |</t>
  </si>
  <si>
    <t xml:space="preserve">     UAG.: OA02009910 - ALMANSA                                                                    MES:    FEBRERO   AÑO: 2016</t>
  </si>
  <si>
    <t xml:space="preserve">     |        | CON ENVÍO |           |         3 |         3 |           |           |           |         3 |--------------|</t>
  </si>
  <si>
    <t xml:space="preserve">     | OFERTA | SIN ENVÍO |         1 |           |         1 |           |           |           |         1 |              |</t>
  </si>
  <si>
    <t xml:space="preserve">     |        | SIN GEST. |           |           |           |           |           |           |           |              |</t>
  </si>
  <si>
    <t xml:space="preserve">     | SIN OFERTA PREVIA  |        19 |       372 |       391 |        18 |       221 |       239 |       630 |         221  |</t>
  </si>
  <si>
    <t xml:space="preserve">     |      TOTALES       |        20 |       375 |       395 |        18 |       221 |       239 |       634 |         221  |</t>
  </si>
  <si>
    <t xml:space="preserve">     UAG.: OA02024910 - CASAS-IBAÑEZ                                                               MES:    FEBRERO   AÑO: 2016</t>
  </si>
  <si>
    <t xml:space="preserve">     |        | CON ENVÍO |         1 |           |         1 |           |           |           |         1 |--------------|</t>
  </si>
  <si>
    <t xml:space="preserve">     | OFERTA | SIN ENVÍO |           |           |           |           |           |           |           |              |</t>
  </si>
  <si>
    <t xml:space="preserve">     |        | SIN GEST. |           |         2 |         2 |           |         1 |         1 |         3 |              |</t>
  </si>
  <si>
    <t xml:space="preserve">     | SIN OFERTA PREVIA  |        25 |       165 |       190 |         7 |       105 |       112 |       302 |         161  |</t>
  </si>
  <si>
    <t xml:space="preserve">     |      TOTALES       |        26 |       167 |       193 |         7 |       106 |       113 |       306 |         161  |</t>
  </si>
  <si>
    <t xml:space="preserve">     UAG.: OA02025910 - CAUDETE                                                                    MES:    FEBRERO   AÑO: 2016</t>
  </si>
  <si>
    <t xml:space="preserve">     |        | SIN GEST. |           |         1 |         1 |           |         1 |         1 |         2 |              |</t>
  </si>
  <si>
    <t xml:space="preserve">     | SIN OFERTA PREVIA  |        39 |       104 |       143 |         6 |        51 |        57 |       200 |          73  |</t>
  </si>
  <si>
    <t xml:space="preserve">     |      TOTALES       |        39 |       105 |       144 |         6 |        52 |        58 |       202 |          73  |</t>
  </si>
  <si>
    <t xml:space="preserve">     UAG.: OA02030910 - ELCHE DE LA SIERRA                                                         MES:    FEBRERO   AÑO: 2016</t>
  </si>
  <si>
    <t xml:space="preserve">     |        | CON ENVÍO |           |         5 |         5 |           |         1 |         1 |         6 |--------------|</t>
  </si>
  <si>
    <t xml:space="preserve">     | OFERTA | SIN ENVÍO |           |           |           |           |         1 |         1 |         1 |              |</t>
  </si>
  <si>
    <t xml:space="preserve">     | SIN OFERTA PREVIA  |         6 |       103 |       109 |         3 |        80 |        83 |       192 |         100  |</t>
  </si>
  <si>
    <t xml:space="preserve">     |      TOTALES       |         6 |       108 |       114 |         3 |        82 |        85 |       199 |         100  |</t>
  </si>
  <si>
    <t xml:space="preserve">     UAG.: OA02037910 - HELLÍN                                                                     MES:    FEBRERO   AÑO: 2016</t>
  </si>
  <si>
    <t xml:space="preserve">     |        | CON ENVÍO |           |         4 |         4 |           |         1 |         1 |         5 |--------------|</t>
  </si>
  <si>
    <t xml:space="preserve">     |        | SIN GEST. |         1 |         1 |         2 |           |           |           |         2 |              |</t>
  </si>
  <si>
    <t xml:space="preserve">     | SIN OFERTA PREVIA  |        33 |       490 |       523 |        16 |       366 |       382 |       905 |         442  |</t>
  </si>
  <si>
    <t xml:space="preserve">     |      TOTALES       |        34 |       496 |       530 |        16 |       367 |       383 |       913 |         442  |</t>
  </si>
  <si>
    <t xml:space="preserve">     UAG.: OA02069910 - LA RODA                                                                    MES:    FEBRERO   AÑO: 2016</t>
  </si>
  <si>
    <t xml:space="preserve">     |        | CON ENVÍO |           |        12 |        12 |           |           |           |        12 |--------------|</t>
  </si>
  <si>
    <t xml:space="preserve">     |        | SIN GEST. |         1 |         8 |         9 |           |           |           |         9 |              |</t>
  </si>
  <si>
    <t xml:space="preserve">     | SIN OFERTA PREVIA  |        23 |       230 |       253 |        14 |       159 |       173 |       426 |         260  |</t>
  </si>
  <si>
    <t xml:space="preserve">     |      TOTALES       |        24 |       250 |       274 |        14 |       159 |       173 |       447 |         260  |</t>
  </si>
  <si>
    <t xml:space="preserve">     UAG.: OA02081910 - VILLARROBLEDO                                                              MES:    FEBRERO   AÑO: 2016</t>
  </si>
  <si>
    <t xml:space="preserve">     |        | CON ENVÍO |         1 |        12 |        13 |           |           |           |        13 |--------------|</t>
  </si>
  <si>
    <t xml:space="preserve">     | OFERTA | SIN ENVÍO |           |           |           |           |           |           |           |           1  |</t>
  </si>
  <si>
    <t xml:space="preserve">     |        | SIN GEST. |           |         2 |         2 |           |           |           |         2 |              |</t>
  </si>
  <si>
    <t xml:space="preserve">     | SIN OFERTA PREVIA  |        48 |       433 |       481 |        24 |       446 |       470 |       951 |         407  |</t>
  </si>
  <si>
    <t xml:space="preserve">     |      TOTALES       |        49 |       447 |       496 |        24 |       446 |       470 |       966 |         408  |</t>
  </si>
  <si>
    <t xml:space="preserve">     UAG.: WW02000107 - UAG VIRTUAL PARA GESTIÓN TELEM                                             MES:    FEBRERO   AÑO: 2016</t>
  </si>
  <si>
    <t xml:space="preserve">     | SIN OFERTA PREVIA  |           |           |           |           |           |           |           |         869  |</t>
  </si>
  <si>
    <t xml:space="preserve">     |      TOTALES       |           |           |           |           |           |           |           |         869  |</t>
  </si>
  <si>
    <t xml:space="preserve">     PROVINCIA : 02 - ALBACETE                                                                     MES:    FEBRERO   AÑO: 2016</t>
  </si>
  <si>
    <t xml:space="preserve">     |        | CON ENVÍO |        49 |       161 |       210 |         4 |         7 |        11 |       221 |--------------|</t>
  </si>
  <si>
    <t xml:space="preserve">     | OFERTA | SIN ENVÍO |         1 |         5 |         6 |           |         1 |         1 |         7 |           3  |</t>
  </si>
  <si>
    <t xml:space="preserve">     |        | SIN GEST. |         4 |        21 |        25 |           |         5 |         5 |        30 |              |</t>
  </si>
  <si>
    <t xml:space="preserve">     | SIN OFERTA PREVIA  |       527 |      3317 |      3844 |       211 |      2489 |      2700 |      6544 |        3960  |</t>
  </si>
  <si>
    <t xml:space="preserve">     |      TOTALES       |       581 |      3504 |      4085 |       215 |      2502 |      2717 |      6802 |        3963  |</t>
  </si>
  <si>
    <t xml:space="preserve">     UAG.: OA13005910 - ALCAZAR DE SAN JUAN                                                        MES:    FEBRERO   AÑO: 2016</t>
  </si>
  <si>
    <t xml:space="preserve">     |        | CON ENVÍO |         4 |        13 |        17 |           |           |           |        17 |--------------|</t>
  </si>
  <si>
    <t xml:space="preserve">     | SIN OFERTA PREVIA  |        77 |       455 |       532 |        36 |       227 |       263 |       795 |         328  |</t>
  </si>
  <si>
    <t xml:space="preserve">     |      TOTALES       |        82 |       470 |       552 |        36 |       228 |       264 |       816 |         328  |</t>
  </si>
  <si>
    <t xml:space="preserve">     UAG.: OA13011910 - ALMADEN                                                                    MES:    FEBRERO   AÑO: 2016</t>
  </si>
  <si>
    <t xml:space="preserve">     |        | CON ENVÍO |           |         1 |         1 |           |           |           |         1 |--------------|</t>
  </si>
  <si>
    <t xml:space="preserve">     | SIN OFERTA PREVIA  |        98 |        50 |       148 |        60 |        41 |       101 |       249 |          75  |</t>
  </si>
  <si>
    <t xml:space="preserve">     |      TOTALES       |        98 |        51 |       149 |        60 |        41 |       101 |       250 |          75  |</t>
  </si>
  <si>
    <t xml:space="preserve">     UAG.: OA13013910 - ALMAGRO                                                                    MES:    FEBRERO   AÑO: 2016</t>
  </si>
  <si>
    <t xml:space="preserve">     | SIN OFERTA PREVIA  |        84 |       244 |       328 |        50 |       202 |       252 |       580 |         235  |</t>
  </si>
  <si>
    <t xml:space="preserve">     |      TOTALES       |        85 |       245 |       330 |        50 |       202 |       252 |       582 |         235  |</t>
  </si>
  <si>
    <t xml:space="preserve">     UAG.: OA13034910 - CIUDAD REAL                                                                MES:    FEBRERO   AÑO: 2016</t>
  </si>
  <si>
    <t xml:space="preserve">     |        | CON ENVÍO |         5 |         5 |        10 |         1 |         1 |         2 |        12 |--------------|</t>
  </si>
  <si>
    <t xml:space="preserve">     | OFERTA | SIN ENVÍO |         6 |        12 |        18 |         1 |         2 |         3 |        21 |           1  |</t>
  </si>
  <si>
    <t xml:space="preserve">     |        | SIN GEST. |        15 |        19 |        34 |         1 |         3 |         4 |        38 |              |</t>
  </si>
  <si>
    <t xml:space="preserve">     | SIN OFERTA PREVIA  |       567 |       434 |      1001 |       290 |       390 |       680 |      1681 |         749  |</t>
  </si>
  <si>
    <t xml:space="preserve">     |      TOTALES       |       593 |       470 |      1063 |       293 |       396 |       689 |      1752 |         750  |</t>
  </si>
  <si>
    <t xml:space="preserve">     UAG.: OA13039910 - DAIMIEL                                                                    MES:    FEBRERO   AÑO: 2016</t>
  </si>
  <si>
    <t xml:space="preserve">     | SIN OFERTA PREVIA  |        33 |       417 |       450 |         9 |       279 |       288 |       738 |         254  |</t>
  </si>
  <si>
    <t xml:space="preserve">     |      TOTALES       |        33 |       417 |       450 |         9 |       279 |       288 |       738 |         254  |</t>
  </si>
  <si>
    <t xml:space="preserve">     UAG.: OA13053910 - MANZANARES                                                                 MES:    FEBRERO   AÑO: 2016</t>
  </si>
  <si>
    <t xml:space="preserve">     |        | CON ENVÍO |         3 |        14 |        17 |           |           |           |        17 |--------------|</t>
  </si>
  <si>
    <t xml:space="preserve">     |        | SIN GEST. |         1 |        17 |        18 |           |         1 |         1 |        19 |              |</t>
  </si>
  <si>
    <t xml:space="preserve">     | SIN OFERTA PREVIA  |        10 |       217 |       227 |         5 |       118 |       123 |       350 |         136  |</t>
  </si>
  <si>
    <t xml:space="preserve">     |      TOTALES       |        14 |       248 |       262 |         5 |       119 |       124 |       386 |         138  |</t>
  </si>
  <si>
    <t xml:space="preserve">     UAG.: OA13063910 - PIEDRABUENA                                                                MES:    FEBRERO   AÑO: 2016</t>
  </si>
  <si>
    <t xml:space="preserve">     | OFERTA | SIN ENVÍO |         1 |         1 |         2 |           |           |           |         2 |              |</t>
  </si>
  <si>
    <t xml:space="preserve">     |        | SIN GEST. |         1 |         2 |         3 |           |           |           |         3 |              |</t>
  </si>
  <si>
    <t xml:space="preserve">     | SIN OFERTA PREVIA  |        33 |       169 |       202 |        12 |       151 |       163 |       365 |         179  |</t>
  </si>
  <si>
    <t xml:space="preserve">     |      TOTALES       |        35 |       173 |       208 |        12 |       151 |       163 |       371 |         179  |</t>
  </si>
  <si>
    <t xml:space="preserve">     UAG.: OA13071910 - PUERTOLLANO                                                                MES:    FEBRERO   AÑO: 2016</t>
  </si>
  <si>
    <t xml:space="preserve">     |        | CON ENVÍO |         2 |           |         2 |           |           |           |         2 |--------------|</t>
  </si>
  <si>
    <t xml:space="preserve">     | OFERTA | SIN ENVÍO |         1 |         4 |         5 |           |           |           |         5 |           1  |</t>
  </si>
  <si>
    <t xml:space="preserve">     |        | SIN GEST. |        29 |        45 |        74 |           |         1 |         1 |        75 |              |</t>
  </si>
  <si>
    <t xml:space="preserve">     | SIN OFERTA PREVIA  |        47 |       721 |       768 |        35 |       407 |       442 |      1210 |         322  |</t>
  </si>
  <si>
    <t xml:space="preserve">     |      TOTALES       |        79 |       770 |       849 |        35 |       408 |       443 |      1292 |         323  |</t>
  </si>
  <si>
    <t xml:space="preserve">     UAG.: OA13079910 - SOLANA, LA                                                                 MES:    FEBRERO   AÑO: 2016</t>
  </si>
  <si>
    <t xml:space="preserve">     | SIN OFERTA PREVIA  |        12 |       216 |       228 |         7 |       150 |       157 |       385 |         119  |</t>
  </si>
  <si>
    <t xml:space="preserve">     |      TOTALES       |        12 |       217 |       229 |         7 |       150 |       157 |       386 |         119  |</t>
  </si>
  <si>
    <t xml:space="preserve">     UAG.: OA13082910 - TOMELLOSO                                                                  MES:    FEBRERO   AÑO: 2016</t>
  </si>
  <si>
    <t xml:space="preserve">     | SIN OFERTA PREVIA  |       129 |       569 |       698 |        29 |       339 |       368 |      1066 |         434  |</t>
  </si>
  <si>
    <t xml:space="preserve">     |      TOTALES       |       129 |       574 |       703 |        29 |       340 |       369 |      1072 |         434  |</t>
  </si>
  <si>
    <t xml:space="preserve">     UAG.: OA13087910 - VALDEPEÑAS                                                                 MES:    FEBRERO   AÑO: 2016</t>
  </si>
  <si>
    <t xml:space="preserve">     |        | CON ENVÍO |           |           |           |           |         1 |         1 |         1 |--------------|</t>
  </si>
  <si>
    <t xml:space="preserve">     | OFERTA | SIN ENVÍO |         1 |         4 |         5 |           |           |           |         5 |              |</t>
  </si>
  <si>
    <t xml:space="preserve">     |        | SIN GEST. |           |         1 |         1 |           |         3 |         3 |         4 |              |</t>
  </si>
  <si>
    <t xml:space="preserve">     | SIN OFERTA PREVIA  |        71 |       509 |       580 |        45 |       355 |       400 |       980 |         370  |</t>
  </si>
  <si>
    <t xml:space="preserve">     |      TOTALES       |        72 |       514 |       586 |        45 |       359 |       404 |       990 |         370  |</t>
  </si>
  <si>
    <t xml:space="preserve">     UAG.: OA13093910 - VILLANUEVA DE LOS INFANTES                                                 MES:    FEBRERO   AÑO: 2016</t>
  </si>
  <si>
    <t xml:space="preserve">     |        | CON ENVÍO |         1 |         7 |         8 |           |           |           |         8 |--------------|</t>
  </si>
  <si>
    <t xml:space="preserve">     | SIN OFERTA PREVIA  |        15 |       210 |       225 |         8 |       137 |       145 |       370 |         195  |</t>
  </si>
  <si>
    <t xml:space="preserve">     |      TOTALES       |        16 |       220 |       236 |         8 |       137 |       145 |       381 |         195  |</t>
  </si>
  <si>
    <t xml:space="preserve">     UAG.: WW13000107 - UAG VIRTUAL PARA GESTIÓN TELEM                                             MES:    FEBRERO   AÑO: 2016</t>
  </si>
  <si>
    <t xml:space="preserve">     | SIN OFERTA PREVIA  |           |           |           |           |           |           |           |         950  |</t>
  </si>
  <si>
    <t xml:space="preserve">     |      TOTALES       |           |           |           |           |           |           |           |         950  |</t>
  </si>
  <si>
    <t xml:space="preserve">     PROVINCIA : 13 - CIUDAD REAL                                                                  MES:    FEBRERO   AÑO: 2016</t>
  </si>
  <si>
    <t xml:space="preserve">     |        | CON ENVÍO |        16 |        45 |        61 |         1 |         3 |         4 |        65 |--------------|</t>
  </si>
  <si>
    <t xml:space="preserve">     | OFERTA | SIN ENVÍO |         9 |        26 |        35 |         1 |         2 |         3 |        38 |           4  |</t>
  </si>
  <si>
    <t xml:space="preserve">     |        | SIN GEST. |        47 |        87 |       134 |         1 |         9 |        10 |       144 |              |</t>
  </si>
  <si>
    <t xml:space="preserve">     | SIN OFERTA PREVIA  |      1176 |      4211 |      5387 |       586 |      2796 |      3382 |      8769 |        4346  |</t>
  </si>
  <si>
    <t xml:space="preserve">     |      TOTALES       |      1248 |      4369 |      5617 |       589 |      2810 |      3399 |      9016 |        4350  |</t>
  </si>
  <si>
    <t xml:space="preserve">     UAG.: OA16033910 - BELMONTE                                                                   MES:    FEBRERO   AÑO: 2016</t>
  </si>
  <si>
    <t xml:space="preserve">     |        | CON ENVÍO |         1 |         1 |         2 |           |           |           |         2 |--------------|</t>
  </si>
  <si>
    <t xml:space="preserve">     | OFERTA | SIN ENVÍO |         1 |           |         1 |           |         1 |         1 |         2 |              |</t>
  </si>
  <si>
    <t xml:space="preserve">     |        | SIN GEST. |           |         1 |         1 |         1 |           |         1 |         2 |              |</t>
  </si>
  <si>
    <t xml:space="preserve">     | SIN OFERTA PREVIA  |        39 |       211 |       250 |         8 |       137 |       145 |       395 |         243  |</t>
  </si>
  <si>
    <t xml:space="preserve">     |      TOTALES       |        41 |       213 |       254 |         9 |       138 |       147 |       401 |         243  |</t>
  </si>
  <si>
    <t xml:space="preserve">     UAG.: OA16052910 - CAÑETE                                                                     MES:    FEBRERO   AÑO: 2016</t>
  </si>
  <si>
    <t xml:space="preserve">     | SIN OFERTA PREVIA  |           |        46 |        46 |         1 |        21 |        22 |        68 |          32  |</t>
  </si>
  <si>
    <t xml:space="preserve">     |      TOTALES       |           |        46 |        46 |         1 |        21 |        22 |        68 |          32  |</t>
  </si>
  <si>
    <t xml:space="preserve">     UAG.: OA16078910 - CUENCA                                                                     MES:    FEBRERO   AÑO: 2016</t>
  </si>
  <si>
    <t xml:space="preserve">     |        | CON ENVÍO |         3 |        12 |        15 |           |           |           |        15 |--------------|</t>
  </si>
  <si>
    <t xml:space="preserve">     | OFERTA | SIN ENVÍO |           |         1 |         1 |           |         1 |         1 |         2 |           3  |</t>
  </si>
  <si>
    <t xml:space="preserve">     |        | SIN GEST. |         2 |         5 |         7 |           |         4 |         4 |        11 |              |</t>
  </si>
  <si>
    <t xml:space="preserve">     | SIN OFERTA PREVIA  |        56 |       437 |       493 |        15 |       263 |       278 |       771 |         418  |</t>
  </si>
  <si>
    <t xml:space="preserve">     |      TOTALES       |        61 |       455 |       516 |        15 |       268 |       283 |       799 |         421  |</t>
  </si>
  <si>
    <t xml:space="preserve">     UAG.: OA16134910 - MOTILLA DEL PALANCAR                                                       MES:    FEBRERO   AÑO: 2016</t>
  </si>
  <si>
    <t xml:space="preserve">     |        | CON ENVÍO |         6 |         6 |        12 |           |         1 |         1 |        13 |--------------|</t>
  </si>
  <si>
    <t xml:space="preserve">     |        | SIN GEST. |         2 |         9 |        11 |           |           |           |        11 |              |</t>
  </si>
  <si>
    <t xml:space="preserve">     | SIN OFERTA PREVIA  |        31 |       222 |       253 |        16 |       119 |       135 |       388 |         199  |</t>
  </si>
  <si>
    <t xml:space="preserve">     |      TOTALES       |        40 |       237 |       277 |        16 |       120 |       136 |       413 |         199  |</t>
  </si>
  <si>
    <t xml:space="preserve">     UAG.: OA16203910 - TARANCON                                                                   MES:    FEBRERO   AÑO: 2016</t>
  </si>
  <si>
    <t xml:space="preserve">     |        | CON ENVÍO |         2 |         4 |         6 |           |         1 |         1 |         7 |--------------|</t>
  </si>
  <si>
    <t xml:space="preserve">     | OFERTA | SIN ENVÍO |           |           |           |           |           |           |           |           3  |</t>
  </si>
  <si>
    <t xml:space="preserve">     |        | SIN GEST. |         2 |         2 |         4 |           |           |           |         4 |              |</t>
  </si>
  <si>
    <t xml:space="preserve">     | SIN OFERTA PREVIA  |        33 |       281 |       314 |        18 |       217 |       235 |       549 |         260  |</t>
  </si>
  <si>
    <t xml:space="preserve">     |      TOTALES       |        37 |       287 |       324 |        18 |       218 |       236 |       560 |         263  |</t>
  </si>
  <si>
    <t xml:space="preserve">     UAG.: WW16000107 - UAG VIRTUAL PARA GESTIÓN TELEM                                             MES:    FEBRERO   AÑO: 2016</t>
  </si>
  <si>
    <t xml:space="preserve">     | SIN OFERTA PREVIA  |           |           |           |           |           |           |           |         338  |</t>
  </si>
  <si>
    <t xml:space="preserve">     |      TOTALES       |           |           |           |           |           |           |           |         338  |</t>
  </si>
  <si>
    <t xml:space="preserve">     PROVINCIA : 16 - CUENCA                                                                       MES:    FEBRERO   AÑO: 2016</t>
  </si>
  <si>
    <t xml:space="preserve">     |        | CON ENVÍO |        12 |        23 |        35 |           |         2 |         2 |        37 |--------------|</t>
  </si>
  <si>
    <t xml:space="preserve">     | OFERTA | SIN ENVÍO |         2 |         1 |         3 |           |         2 |         2 |         5 |           6  |</t>
  </si>
  <si>
    <t xml:space="preserve">     |        | SIN GEST. |         6 |        17 |        23 |         1 |         4 |         5 |        28 |              |</t>
  </si>
  <si>
    <t xml:space="preserve">     | SIN OFERTA PREVIA  |       159 |      1197 |      1356 |        58 |       757 |       815 |      2171 |        1490  |</t>
  </si>
  <si>
    <t xml:space="preserve">     |      TOTALES       |       179 |      1238 |      1417 |        59 |       765 |       824 |      2241 |        1496  |</t>
  </si>
  <si>
    <t xml:space="preserve">     UAG.: OA19046910 - AZUQUECA DE HENARES                                                        MES:    FEBRERO   AÑO: 2016</t>
  </si>
  <si>
    <t xml:space="preserve">     | SIN OFERTA PREVIA  |        94 |       555 |       649 |        74 |       596 |       670 |      1319 |         728  |</t>
  </si>
  <si>
    <t xml:space="preserve">     |      TOTALES       |        94 |       557 |       651 |        74 |       597 |       671 |      1322 |         730  |</t>
  </si>
  <si>
    <t xml:space="preserve">     UAG.: OA19086910 - CIFUENTES                                                                  MES:    FEBRERO   AÑO: 2016</t>
  </si>
  <si>
    <t xml:space="preserve">     | SIN OFERTA PREVIA  |        25 |         9 |        34 |         9 |         8 |        17 |        51 |          13  |</t>
  </si>
  <si>
    <t xml:space="preserve">     |      TOTALES       |        25 |         9 |        34 |         9 |         8 |        17 |        51 |          13  |</t>
  </si>
  <si>
    <t xml:space="preserve">     UAG.: OA19130910 - GUADALAJARA                                                                MES:    FEBRERO   AÑO: 2016</t>
  </si>
  <si>
    <t xml:space="preserve">     |        | CON ENVÍO |         3 |        13 |        16 |           |           |           |        16 |--------------|</t>
  </si>
  <si>
    <t xml:space="preserve">     | OFERTA | SIN ENVÍO |         2 |         1 |         3 |           |           |           |         3 |           2  |</t>
  </si>
  <si>
    <t xml:space="preserve">     |        | SIN GEST. |         1 |         4 |         5 |           |           |           |         5 |              |</t>
  </si>
  <si>
    <t xml:space="preserve">     | SIN OFERTA PREVIA  |       176 |      1384 |      1560 |       115 |      1532 |      1647 |      3207 |        1874  |</t>
  </si>
  <si>
    <t xml:space="preserve">     |      TOTALES       |       182 |      1402 |      1584 |       115 |      1532 |      1647 |      3231 |        1876  |</t>
  </si>
  <si>
    <t xml:space="preserve">     UAG.: OA19190910 - MOLINA DE ARAGON                                                           MES:    FEBRERO   AÑO: 2016</t>
  </si>
  <si>
    <t xml:space="preserve">     | OFERTA | SIN ENVÍO |           |         1 |         1 |           |           |           |         1 |           1  |</t>
  </si>
  <si>
    <t xml:space="preserve">     | SIN OFERTA PREVIA  |         7 |        48 |        55 |         6 |        17 |        23 |        78 |          43  |</t>
  </si>
  <si>
    <t xml:space="preserve">     |      TOTALES       |         8 |        50 |        58 |         6 |        17 |        23 |        81 |          44  |</t>
  </si>
  <si>
    <t xml:space="preserve">     UAG.: OA19212910 - PASTRANA                                                                   MES:    FEBRERO   AÑO: 2016</t>
  </si>
  <si>
    <t xml:space="preserve">     | SIN OFERTA PREVIA  |        29 |        79 |       108 |         7 |        67 |        74 |       182 |         118  |</t>
  </si>
  <si>
    <t xml:space="preserve">     |      TOTALES       |        29 |        80 |       109 |         7 |        67 |        74 |       183 |         120  |</t>
  </si>
  <si>
    <t xml:space="preserve">     UAG.: OA19257910 - SIGUENZA                                                                   MES:    FEBRERO   AÑO: 2016</t>
  </si>
  <si>
    <t xml:space="preserve">     | SIN OFERTA PREVIA  |         8 |        43 |        51 |         5 |        21 |        26 |        77 |          86  |</t>
  </si>
  <si>
    <t xml:space="preserve">     |      TOTALES       |         8 |        44 |        52 |         5 |        21 |        26 |        78 |          86  |</t>
  </si>
  <si>
    <t xml:space="preserve">     UAG.: WW19000107 - UAG VIRTUAL PARA GESTIÓN TELEM                                             MES:    FEBRERO   AÑO: 2016</t>
  </si>
  <si>
    <t xml:space="preserve">     | SIN OFERTA PREVIA  |           |           |           |           |           |           |           |         490  |</t>
  </si>
  <si>
    <t xml:space="preserve">     |      TOTALES       |           |           |           |           |           |           |           |         490  |</t>
  </si>
  <si>
    <t xml:space="preserve">     PROVINCIA : 19 - GUADALAJARA                                                                  MES:    FEBRERO   AÑO: 2016</t>
  </si>
  <si>
    <t xml:space="preserve">     | OFERTA | SIN ENVÍO |         2 |         2 |         4 |           |           |           |         4 |           7  |</t>
  </si>
  <si>
    <t xml:space="preserve">     |        | SIN GEST. |         1 |         9 |        10 |           |         1 |         1 |        11 |              |</t>
  </si>
  <si>
    <t xml:space="preserve">     | SIN OFERTA PREVIA  |       339 |      2118 |      2457 |       216 |      2241 |      2457 |      4914 |        3352  |</t>
  </si>
  <si>
    <t xml:space="preserve">     |      TOTALES       |       346 |      2142 |      2488 |       216 |      2242 |      2458 |      4946 |        3359  |</t>
  </si>
  <si>
    <t xml:space="preserve">     UAG.: OA45081910 - ILLESCAS                                                                   MES:    FEBRERO   AÑO: 2016</t>
  </si>
  <si>
    <t xml:space="preserve">     |        | CON ENVÍO |         1 |        17 |        18 |           |           |           |        18 |--------------|</t>
  </si>
  <si>
    <t xml:space="preserve">     |        | SIN GEST. |         1 |        20 |        21 |           |           |           |        21 |              |</t>
  </si>
  <si>
    <t xml:space="preserve">     | SIN OFERTA PREVIA  |        49 |      1238 |      1287 |        21 |      1033 |      1054 |      2341 |        1141  |</t>
  </si>
  <si>
    <t xml:space="preserve">     |      TOTALES       |        51 |      1275 |      1326 |        21 |      1033 |      1054 |      2380 |        1141  |</t>
  </si>
  <si>
    <t xml:space="preserve">     UAG.: OA45106910 - MORA                                                                       MES:    FEBRERO   AÑO: 2016</t>
  </si>
  <si>
    <t xml:space="preserve">     | OFERTA | SIN ENVÍO |           |         2 |         2 |           |           |           |         2 |           1  |</t>
  </si>
  <si>
    <t xml:space="preserve">     |        | SIN GEST. |         1 |         1 |         2 |           |         5 |         5 |         7 |              |</t>
  </si>
  <si>
    <t xml:space="preserve">     | SIN OFERTA PREVIA  |        34 |       353 |       387 |        28 |       273 |       301 |       688 |         313  |</t>
  </si>
  <si>
    <t xml:space="preserve">     |      TOTALES       |        35 |       356 |       391 |        28 |       278 |       306 |       697 |         314  |</t>
  </si>
  <si>
    <t xml:space="preserve">     UAG.: OA45121910 - OCAÑA                                                                      MES:    FEBRERO   AÑO: 2016</t>
  </si>
  <si>
    <t xml:space="preserve">     |        | SIN GEST. |           |         3 |         3 |           |           |           |         3 |              |</t>
  </si>
  <si>
    <t xml:space="preserve">     | SIN OFERTA PREVIA  |        25 |       483 |       508 |         4 |       560 |       564 |      1072 |         445  |</t>
  </si>
  <si>
    <t xml:space="preserve">     |      TOTALES       |        25 |       487 |       512 |         4 |       560 |       564 |      1076 |         445  |</t>
  </si>
  <si>
    <t xml:space="preserve">     UAG.: OA45142910 - QUINTANAR DE LA ORDEN                                                      MES:    FEBRERO   AÑO: 2016</t>
  </si>
  <si>
    <t xml:space="preserve">     | OFERTA | SIN ENVÍO |         1 |         2 |         3 |           |           |           |         3 |              |</t>
  </si>
  <si>
    <t xml:space="preserve">     | SIN OFERTA PREVIA  |        19 |       380 |       399 |         8 |       221 |       229 |       628 |         284  |</t>
  </si>
  <si>
    <t xml:space="preserve">     |      TOTALES       |        23 |       394 |       417 |         8 |       221 |       229 |       646 |         284  |</t>
  </si>
  <si>
    <t xml:space="preserve">     UAG.: OA45165910 - TALAVERA DE LA REINA                                                       MES:    FEBRERO   AÑO: 2016</t>
  </si>
  <si>
    <t xml:space="preserve">     |        | CON ENVÍO |         2 |         9 |        11 |           |         1 |         1 |        12 |--------------|</t>
  </si>
  <si>
    <t xml:space="preserve">     | OFERTA | SIN ENVÍO |           |        12 |        12 |           |           |           |        12 |           1  |</t>
  </si>
  <si>
    <t xml:space="preserve">     | SIN OFERTA PREVIA  |        36 |       620 |       656 |        12 |       292 |       304 |       960 |         375  |</t>
  </si>
  <si>
    <t xml:space="preserve">     |      TOTALES       |        38 |       642 |       680 |        12 |       293 |       305 |       985 |         376  |</t>
  </si>
  <si>
    <t xml:space="preserve">     UAG.: OA45165915 - TALAVERA DE LA REINA-A.DIVINO                                              MES:    FEBRERO   AÑO: 2016</t>
  </si>
  <si>
    <t xml:space="preserve">     |        | CON ENVÍO |         1 |         9 |        10 |           |           |           |        10 |--------------|</t>
  </si>
  <si>
    <t xml:space="preserve">     | OFERTA | SIN ENVÍO |           |         4 |         4 |           |           |           |         4 |              |</t>
  </si>
  <si>
    <t xml:space="preserve">     | SIN OFERTA PREVIA  |        37 |       539 |       576 |        11 |       247 |       258 |       834 |         334  |</t>
  </si>
  <si>
    <t xml:space="preserve">     |      TOTALES       |        38 |       555 |       593 |        11 |       247 |       258 |       851 |         334  |</t>
  </si>
  <si>
    <t xml:space="preserve">     UAG.: OA45168910 - TOLEDO                                                                     MES:    FEBRERO   AÑO: 2016</t>
  </si>
  <si>
    <t xml:space="preserve">     |        | CON ENVÍO |         1 |         7 |         8 |           |         1 |         1 |         9 |--------------|</t>
  </si>
  <si>
    <t xml:space="preserve">     | OFERTA | SIN ENVÍO |           |         4 |         4 |           |           |           |         4 |           3  |</t>
  </si>
  <si>
    <t xml:space="preserve">     |        | SIN GEST. |         2 |         3 |         5 |           |         1 |         1 |         6 |              |</t>
  </si>
  <si>
    <t xml:space="preserve">     | SIN OFERTA PREVIA  |        69 |      1405 |      1474 |        35 |      1223 |      1258 |      2732 |        1221  |</t>
  </si>
  <si>
    <t xml:space="preserve">     |      TOTALES       |        72 |      1419 |      1491 |        35 |      1225 |      1260 |      2751 |        1224  |</t>
  </si>
  <si>
    <t xml:space="preserve">     UAG.: OA45173910 - TORRIJOS                                                                   MES:    FEBRERO   AÑO: 2016</t>
  </si>
  <si>
    <t xml:space="preserve">     | OFERTA | SIN ENVÍO |           |         1 |         1 |           |           |           |         1 |           2  |</t>
  </si>
  <si>
    <t xml:space="preserve">     | SIN OFERTA PREVIA  |        32 |       565 |       597 |        17 |       367 |       384 |       981 |         373  |</t>
  </si>
  <si>
    <t xml:space="preserve">     |      TOTALES       |        32 |       567 |       599 |        17 |       368 |       385 |       984 |         375  |</t>
  </si>
  <si>
    <t xml:space="preserve">     UAG.: OA45185910 - VILLACAÑAS                                                                 MES:    FEBRERO   AÑO: 2016</t>
  </si>
  <si>
    <t xml:space="preserve">     |        | CON ENVÍO |         2 |        28 |        30 |           |           |           |        30 |--------------|</t>
  </si>
  <si>
    <t xml:space="preserve">     | OFERTA | SIN ENVÍO |           |         9 |         9 |           |           |           |         9 |           1  |</t>
  </si>
  <si>
    <t xml:space="preserve">     |        | SIN GEST. |           |         4 |         4 |         1 |         1 |         2 |         6 |              |</t>
  </si>
  <si>
    <t xml:space="preserve">     | SIN OFERTA PREVIA  |        41 |       478 |       519 |        27 |       363 |       390 |       909 |         407  |</t>
  </si>
  <si>
    <t xml:space="preserve">     |      TOTALES       |        43 |       519 |       562 |        28 |       364 |       392 |       954 |         408  |</t>
  </si>
  <si>
    <t xml:space="preserve">     UAG.: WW45000107 - UAG VIRTUAL PARA GESTIÓN TELEM                                             MES:    FEBRERO   AÑO: 2016</t>
  </si>
  <si>
    <t xml:space="preserve">     | SIN OFERTA PREVIA  |           |           |           |           |           |           |           |         959  |</t>
  </si>
  <si>
    <t xml:space="preserve">     |      TOTALES       |           |           |           |           |           |           |           |         959  |</t>
  </si>
  <si>
    <t xml:space="preserve">     PROVINCIA : 45 - TOLEDO                                                                       MES:    FEBRERO   AÑO: 2016</t>
  </si>
  <si>
    <t xml:space="preserve">     |        | CON ENVÍO |        10 |        83 |        93 |           |         3 |         3 |        96 |--------------|</t>
  </si>
  <si>
    <t xml:space="preserve">     | OFERTA | SIN ENVÍO |         1 |        34 |        35 |           |           |           |        35 |           8  |</t>
  </si>
  <si>
    <t xml:space="preserve">     |        | SIN GEST. |         4 |        36 |        40 |         1 |         7 |         8 |        48 |              |</t>
  </si>
  <si>
    <t xml:space="preserve">     | SIN OFERTA PREVIA  |       342 |      6061 |      6403 |       163 |      4579 |      4742 |     11145 |        5852  |</t>
  </si>
  <si>
    <t xml:space="preserve">     |      TOTALES       |       357 |      6214 |      6571 |       164 |      4589 |      4753 |     11324 |        5860  |</t>
  </si>
  <si>
    <t xml:space="preserve">     COMUNIDAD AUTÓNOMA DE: 07 - CASTILLA LA MANCHA                                                MES:    FEBRERO   AÑO: 2016</t>
  </si>
  <si>
    <t xml:space="preserve">     |        | CON ENVÍO |        91 |       325 |       416 |         5 |        15 |        20 |       436 |--------------|</t>
  </si>
  <si>
    <t xml:space="preserve">     | OFERTA | SIN ENVÍO |        15 |        68 |        83 |         1 |         5 |         6 |        89 |          28  |</t>
  </si>
  <si>
    <t xml:space="preserve">     |        | SIN GEST. |        62 |       170 |       232 |         3 |        26 |        29 |       261 |              |</t>
  </si>
  <si>
    <t xml:space="preserve">     | SIN OFERTA PREVIA  |      2543 |     16904 |     19447 |      1234 |     12862 |     14096 |     33543 |       19000  |</t>
  </si>
  <si>
    <t xml:space="preserve">     |      TOTALES       |      2711 |     17467 |     20178 |      1243 |     12908 |     14151 |     34329 |       19028  |</t>
  </si>
  <si>
    <t>'Con oferta previa y envío'</t>
  </si>
  <si>
    <t>'Con oferta previa sin envío'</t>
  </si>
  <si>
    <t>'Con oferta previa sin gestionar'</t>
  </si>
  <si>
    <t>'Sin oferta previa'</t>
  </si>
  <si>
    <t>'Total</t>
  </si>
  <si>
    <t>NA</t>
  </si>
  <si>
    <t>Categoría</t>
  </si>
  <si>
    <t>Veces</t>
  </si>
  <si>
    <t>c(NA,'Con oferta previa y envío',NA,'Con oferta previa sin envío',NA,'Con oferta previa sin gestionar',NA,'Sin oferta previa',NA,'Total,NA)</t>
  </si>
  <si>
    <t>c(33,1,1,1,1,1,1,1,1,1,1)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</si>
</sst>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9"/>
  <sheetViews>
    <sheetView tabSelected="1" topLeftCell="A10" workbookViewId="0">
      <selection activeCell="E16" sqref="E16:F23"/>
    </sheetView>
  </sheetViews>
  <sheetFormatPr baseColWidth="10" defaultRowHeight="15" x14ac:dyDescent="0.25"/>
  <cols>
    <col min="1" max="1" width="167.5703125" style="1" bestFit="1" customWidth="1"/>
    <col min="2" max="2" width="29.28515625" bestFit="1" customWidth="1"/>
    <col min="3" max="3" width="3" bestFit="1" customWidth="1"/>
  </cols>
  <sheetData>
    <row r="1" spans="2:6" x14ac:dyDescent="0.25">
      <c r="B1" t="s">
        <v>270</v>
      </c>
      <c r="C1">
        <v>33</v>
      </c>
    </row>
    <row r="2" spans="2:6" x14ac:dyDescent="0.25">
      <c r="B2" t="s">
        <v>270</v>
      </c>
    </row>
    <row r="3" spans="2:6" x14ac:dyDescent="0.25">
      <c r="B3" t="s">
        <v>270</v>
      </c>
    </row>
    <row r="4" spans="2:6" x14ac:dyDescent="0.25">
      <c r="B4" t="s">
        <v>270</v>
      </c>
    </row>
    <row r="5" spans="2:6" x14ac:dyDescent="0.25">
      <c r="B5" t="s">
        <v>270</v>
      </c>
    </row>
    <row r="6" spans="2:6" x14ac:dyDescent="0.25">
      <c r="B6" t="s">
        <v>270</v>
      </c>
    </row>
    <row r="7" spans="2:6" x14ac:dyDescent="0.25">
      <c r="B7" t="s">
        <v>270</v>
      </c>
    </row>
    <row r="8" spans="2:6" x14ac:dyDescent="0.25">
      <c r="B8" t="s">
        <v>270</v>
      </c>
    </row>
    <row r="9" spans="2:6" x14ac:dyDescent="0.25">
      <c r="B9" t="s">
        <v>270</v>
      </c>
    </row>
    <row r="10" spans="2:6" x14ac:dyDescent="0.25">
      <c r="B10" t="s">
        <v>270</v>
      </c>
    </row>
    <row r="11" spans="2:6" x14ac:dyDescent="0.25">
      <c r="B11" t="s">
        <v>270</v>
      </c>
    </row>
    <row r="12" spans="2:6" x14ac:dyDescent="0.25">
      <c r="B12" t="s">
        <v>270</v>
      </c>
    </row>
    <row r="13" spans="2:6" x14ac:dyDescent="0.25">
      <c r="B13" t="s">
        <v>270</v>
      </c>
    </row>
    <row r="14" spans="2:6" x14ac:dyDescent="0.25">
      <c r="B14" t="s">
        <v>270</v>
      </c>
    </row>
    <row r="15" spans="2:6" x14ac:dyDescent="0.25">
      <c r="B15" t="s">
        <v>270</v>
      </c>
    </row>
    <row r="16" spans="2:6" x14ac:dyDescent="0.25">
      <c r="B16" t="s">
        <v>270</v>
      </c>
      <c r="E16">
        <v>28</v>
      </c>
      <c r="F16">
        <v>38</v>
      </c>
    </row>
    <row r="17" spans="1:6" x14ac:dyDescent="0.25">
      <c r="B17" t="s">
        <v>270</v>
      </c>
      <c r="E17">
        <v>40</v>
      </c>
      <c r="F17">
        <v>50</v>
      </c>
    </row>
    <row r="18" spans="1:6" x14ac:dyDescent="0.25">
      <c r="A18" s="1" t="s">
        <v>0</v>
      </c>
      <c r="B18" t="s">
        <v>270</v>
      </c>
      <c r="E18">
        <v>52</v>
      </c>
      <c r="F18">
        <f>12+F17</f>
        <v>62</v>
      </c>
    </row>
    <row r="19" spans="1:6" x14ac:dyDescent="0.25">
      <c r="A19" s="1" t="s">
        <v>1</v>
      </c>
      <c r="B19" t="s">
        <v>270</v>
      </c>
      <c r="E19">
        <v>64</v>
      </c>
      <c r="F19">
        <f t="shared" ref="F19:F21" si="0">12+F18</f>
        <v>74</v>
      </c>
    </row>
    <row r="20" spans="1:6" x14ac:dyDescent="0.25">
      <c r="B20" t="s">
        <v>270</v>
      </c>
      <c r="E20">
        <v>76</v>
      </c>
      <c r="F20">
        <f t="shared" si="0"/>
        <v>86</v>
      </c>
    </row>
    <row r="21" spans="1:6" x14ac:dyDescent="0.25">
      <c r="A21" s="1" t="s">
        <v>2</v>
      </c>
      <c r="B21" t="s">
        <v>270</v>
      </c>
      <c r="E21">
        <v>88</v>
      </c>
      <c r="F21">
        <f t="shared" si="0"/>
        <v>98</v>
      </c>
    </row>
    <row r="22" spans="1:6" x14ac:dyDescent="0.25">
      <c r="B22" t="s">
        <v>270</v>
      </c>
      <c r="E22">
        <f t="shared" ref="E22:E23" si="1">12+E21</f>
        <v>100</v>
      </c>
      <c r="F22">
        <f t="shared" ref="F22" si="2">12+F21</f>
        <v>110</v>
      </c>
    </row>
    <row r="23" spans="1:6" x14ac:dyDescent="0.25">
      <c r="A23" s="1" t="s">
        <v>3</v>
      </c>
      <c r="B23" t="s">
        <v>270</v>
      </c>
      <c r="E23">
        <f t="shared" si="1"/>
        <v>112</v>
      </c>
      <c r="F23">
        <v>125</v>
      </c>
    </row>
    <row r="24" spans="1:6" x14ac:dyDescent="0.25">
      <c r="B24" t="s">
        <v>270</v>
      </c>
    </row>
    <row r="25" spans="1:6" x14ac:dyDescent="0.25">
      <c r="B25" t="s">
        <v>270</v>
      </c>
    </row>
    <row r="26" spans="1:6" x14ac:dyDescent="0.25">
      <c r="A26" s="1" t="s">
        <v>4</v>
      </c>
      <c r="B26" t="s">
        <v>270</v>
      </c>
    </row>
    <row r="27" spans="1:6" x14ac:dyDescent="0.25">
      <c r="A27" s="1" t="s">
        <v>5</v>
      </c>
      <c r="B27" t="s">
        <v>270</v>
      </c>
    </row>
    <row r="28" spans="1:6" x14ac:dyDescent="0.25">
      <c r="A28" s="1" t="s">
        <v>6</v>
      </c>
      <c r="B28" t="s">
        <v>270</v>
      </c>
    </row>
    <row r="29" spans="1:6" x14ac:dyDescent="0.25">
      <c r="A29" s="1" t="s">
        <v>7</v>
      </c>
      <c r="B29" t="s">
        <v>270</v>
      </c>
    </row>
    <row r="30" spans="1:6" x14ac:dyDescent="0.25">
      <c r="A30" s="1" t="s">
        <v>8</v>
      </c>
      <c r="B30" t="s">
        <v>270</v>
      </c>
    </row>
    <row r="31" spans="1:6" x14ac:dyDescent="0.25">
      <c r="A31" s="1" t="s">
        <v>9</v>
      </c>
      <c r="B31" t="s">
        <v>270</v>
      </c>
      <c r="D31" t="str">
        <f>MID(A31,99,12)</f>
        <v xml:space="preserve">|   BAJAS   </v>
      </c>
    </row>
    <row r="32" spans="1:6" x14ac:dyDescent="0.25">
      <c r="A32" s="1" t="s">
        <v>10</v>
      </c>
      <c r="B32" t="s">
        <v>270</v>
      </c>
      <c r="D32" t="str">
        <f>MID(A32,126,12)</f>
        <v>|</v>
      </c>
    </row>
    <row r="33" spans="1:3" x14ac:dyDescent="0.25">
      <c r="A33" s="1" t="s">
        <v>11</v>
      </c>
      <c r="B33" t="s">
        <v>270</v>
      </c>
    </row>
    <row r="34" spans="1:3" x14ac:dyDescent="0.25">
      <c r="A34" s="1" t="s">
        <v>12</v>
      </c>
      <c r="B34" s="2" t="s">
        <v>265</v>
      </c>
      <c r="C34">
        <v>1</v>
      </c>
    </row>
    <row r="35" spans="1:3" x14ac:dyDescent="0.25">
      <c r="A35" s="1" t="s">
        <v>13</v>
      </c>
      <c r="B35" s="2" t="s">
        <v>270</v>
      </c>
      <c r="C35">
        <v>1</v>
      </c>
    </row>
    <row r="36" spans="1:3" x14ac:dyDescent="0.25">
      <c r="A36" s="1" t="s">
        <v>14</v>
      </c>
      <c r="B36" s="2" t="s">
        <v>266</v>
      </c>
      <c r="C36">
        <v>1</v>
      </c>
    </row>
    <row r="37" spans="1:3" x14ac:dyDescent="0.25">
      <c r="A37" s="1" t="s">
        <v>15</v>
      </c>
      <c r="B37" s="2" t="s">
        <v>270</v>
      </c>
      <c r="C37">
        <v>1</v>
      </c>
    </row>
    <row r="38" spans="1:3" x14ac:dyDescent="0.25">
      <c r="A38" s="1" t="s">
        <v>16</v>
      </c>
      <c r="B38" s="2" t="s">
        <v>267</v>
      </c>
      <c r="C38">
        <v>1</v>
      </c>
    </row>
    <row r="39" spans="1:3" x14ac:dyDescent="0.25">
      <c r="A39" s="1" t="s">
        <v>17</v>
      </c>
      <c r="B39" s="2" t="s">
        <v>270</v>
      </c>
      <c r="C39">
        <v>1</v>
      </c>
    </row>
    <row r="40" spans="1:3" x14ac:dyDescent="0.25">
      <c r="A40" s="1" t="s">
        <v>18</v>
      </c>
      <c r="B40" s="2" t="s">
        <v>268</v>
      </c>
      <c r="C40">
        <v>1</v>
      </c>
    </row>
    <row r="41" spans="1:3" x14ac:dyDescent="0.25">
      <c r="A41" s="1" t="s">
        <v>17</v>
      </c>
      <c r="B41" t="s">
        <v>270</v>
      </c>
      <c r="C41">
        <v>1</v>
      </c>
    </row>
    <row r="42" spans="1:3" x14ac:dyDescent="0.25">
      <c r="A42" s="1" t="s">
        <v>19</v>
      </c>
      <c r="B42" s="2" t="s">
        <v>269</v>
      </c>
      <c r="C42">
        <v>1</v>
      </c>
    </row>
    <row r="43" spans="1:3" x14ac:dyDescent="0.25">
      <c r="A43" s="1" t="s">
        <v>20</v>
      </c>
      <c r="B43" t="s">
        <v>270</v>
      </c>
      <c r="C43">
        <v>1</v>
      </c>
    </row>
    <row r="44" spans="1:3" x14ac:dyDescent="0.25">
      <c r="A44" s="1" t="s">
        <v>21</v>
      </c>
    </row>
    <row r="61" spans="1:1" x14ac:dyDescent="0.25">
      <c r="A61" s="1" t="s">
        <v>0</v>
      </c>
    </row>
    <row r="62" spans="1:1" x14ac:dyDescent="0.25">
      <c r="A62" s="1" t="s">
        <v>1</v>
      </c>
    </row>
    <row r="64" spans="1:1" x14ac:dyDescent="0.25">
      <c r="A64" s="1" t="s">
        <v>2</v>
      </c>
    </row>
    <row r="66" spans="1:1" x14ac:dyDescent="0.25">
      <c r="A66" s="1" t="s">
        <v>22</v>
      </c>
    </row>
    <row r="69" spans="1:1" x14ac:dyDescent="0.25">
      <c r="A69" s="1" t="s">
        <v>4</v>
      </c>
    </row>
    <row r="70" spans="1:1" x14ac:dyDescent="0.25">
      <c r="A70" s="1" t="s">
        <v>5</v>
      </c>
    </row>
    <row r="71" spans="1:1" x14ac:dyDescent="0.25">
      <c r="A71" s="1" t="s">
        <v>6</v>
      </c>
    </row>
    <row r="72" spans="1:1" x14ac:dyDescent="0.25">
      <c r="A72" s="1" t="s">
        <v>7</v>
      </c>
    </row>
    <row r="73" spans="1:1" x14ac:dyDescent="0.25">
      <c r="A73" s="1" t="s">
        <v>8</v>
      </c>
    </row>
    <row r="74" spans="1:1" x14ac:dyDescent="0.25">
      <c r="A74" s="1" t="s">
        <v>9</v>
      </c>
    </row>
    <row r="75" spans="1:1" x14ac:dyDescent="0.25">
      <c r="A75" s="1" t="s">
        <v>10</v>
      </c>
    </row>
    <row r="76" spans="1:1" x14ac:dyDescent="0.25">
      <c r="A76" s="1" t="s">
        <v>11</v>
      </c>
    </row>
    <row r="77" spans="1:1" x14ac:dyDescent="0.25">
      <c r="A77" s="1" t="s">
        <v>23</v>
      </c>
    </row>
    <row r="78" spans="1:1" x14ac:dyDescent="0.25">
      <c r="A78" s="1" t="s">
        <v>13</v>
      </c>
    </row>
    <row r="79" spans="1:1" x14ac:dyDescent="0.25">
      <c r="A79" s="1" t="s">
        <v>24</v>
      </c>
    </row>
    <row r="80" spans="1:1" x14ac:dyDescent="0.25">
      <c r="A80" s="1" t="s">
        <v>15</v>
      </c>
    </row>
    <row r="81" spans="1:1" x14ac:dyDescent="0.25">
      <c r="A81" s="1" t="s">
        <v>25</v>
      </c>
    </row>
    <row r="82" spans="1:1" x14ac:dyDescent="0.25">
      <c r="A82" s="1" t="s">
        <v>17</v>
      </c>
    </row>
    <row r="83" spans="1:1" x14ac:dyDescent="0.25">
      <c r="A83" s="1" t="s">
        <v>26</v>
      </c>
    </row>
    <row r="84" spans="1:1" x14ac:dyDescent="0.25">
      <c r="A84" s="1" t="s">
        <v>17</v>
      </c>
    </row>
    <row r="85" spans="1:1" x14ac:dyDescent="0.25">
      <c r="A85" s="1" t="s">
        <v>27</v>
      </c>
    </row>
    <row r="86" spans="1:1" x14ac:dyDescent="0.25">
      <c r="A86" s="1" t="s">
        <v>20</v>
      </c>
    </row>
    <row r="87" spans="1:1" x14ac:dyDescent="0.25">
      <c r="A87" s="1" t="s">
        <v>21</v>
      </c>
    </row>
    <row r="104" spans="1:1" x14ac:dyDescent="0.25">
      <c r="A104" s="1" t="s">
        <v>0</v>
      </c>
    </row>
    <row r="105" spans="1:1" x14ac:dyDescent="0.25">
      <c r="A105" s="1" t="s">
        <v>1</v>
      </c>
    </row>
    <row r="107" spans="1:1" x14ac:dyDescent="0.25">
      <c r="A107" s="1" t="s">
        <v>2</v>
      </c>
    </row>
    <row r="109" spans="1:1" x14ac:dyDescent="0.25">
      <c r="A109" s="1" t="s">
        <v>28</v>
      </c>
    </row>
    <row r="112" spans="1:1" x14ac:dyDescent="0.25">
      <c r="A112" s="1" t="s">
        <v>4</v>
      </c>
    </row>
    <row r="113" spans="1:1" x14ac:dyDescent="0.25">
      <c r="A113" s="1" t="s">
        <v>5</v>
      </c>
    </row>
    <row r="114" spans="1:1" x14ac:dyDescent="0.25">
      <c r="A114" s="1" t="s">
        <v>6</v>
      </c>
    </row>
    <row r="115" spans="1:1" x14ac:dyDescent="0.25">
      <c r="A115" s="1" t="s">
        <v>7</v>
      </c>
    </row>
    <row r="116" spans="1:1" x14ac:dyDescent="0.25">
      <c r="A116" s="1" t="s">
        <v>8</v>
      </c>
    </row>
    <row r="117" spans="1:1" x14ac:dyDescent="0.25">
      <c r="A117" s="1" t="s">
        <v>9</v>
      </c>
    </row>
    <row r="118" spans="1:1" x14ac:dyDescent="0.25">
      <c r="A118" s="1" t="s">
        <v>10</v>
      </c>
    </row>
    <row r="119" spans="1:1" x14ac:dyDescent="0.25">
      <c r="A119" s="1" t="s">
        <v>11</v>
      </c>
    </row>
    <row r="120" spans="1:1" x14ac:dyDescent="0.25">
      <c r="A120" s="1" t="s">
        <v>29</v>
      </c>
    </row>
    <row r="121" spans="1:1" x14ac:dyDescent="0.25">
      <c r="A121" s="1" t="s">
        <v>13</v>
      </c>
    </row>
    <row r="122" spans="1:1" x14ac:dyDescent="0.25">
      <c r="A122" s="1" t="s">
        <v>30</v>
      </c>
    </row>
    <row r="123" spans="1:1" x14ac:dyDescent="0.25">
      <c r="A123" s="1" t="s">
        <v>15</v>
      </c>
    </row>
    <row r="124" spans="1:1" x14ac:dyDescent="0.25">
      <c r="A124" s="1" t="s">
        <v>31</v>
      </c>
    </row>
    <row r="125" spans="1:1" x14ac:dyDescent="0.25">
      <c r="A125" s="1" t="s">
        <v>17</v>
      </c>
    </row>
    <row r="126" spans="1:1" x14ac:dyDescent="0.25">
      <c r="A126" s="1" t="s">
        <v>32</v>
      </c>
    </row>
    <row r="127" spans="1:1" x14ac:dyDescent="0.25">
      <c r="A127" s="1" t="s">
        <v>17</v>
      </c>
    </row>
    <row r="128" spans="1:1" x14ac:dyDescent="0.25">
      <c r="A128" s="1" t="s">
        <v>33</v>
      </c>
    </row>
    <row r="129" spans="1:1" x14ac:dyDescent="0.25">
      <c r="A129" s="1" t="s">
        <v>20</v>
      </c>
    </row>
    <row r="130" spans="1:1" x14ac:dyDescent="0.25">
      <c r="A130" s="1" t="s">
        <v>21</v>
      </c>
    </row>
    <row r="147" spans="1:1" x14ac:dyDescent="0.25">
      <c r="A147" s="1" t="s">
        <v>0</v>
      </c>
    </row>
    <row r="148" spans="1:1" x14ac:dyDescent="0.25">
      <c r="A148" s="1" t="s">
        <v>1</v>
      </c>
    </row>
    <row r="150" spans="1:1" x14ac:dyDescent="0.25">
      <c r="A150" s="1" t="s">
        <v>2</v>
      </c>
    </row>
    <row r="152" spans="1:1" x14ac:dyDescent="0.25">
      <c r="A152" s="1" t="s">
        <v>34</v>
      </c>
    </row>
    <row r="155" spans="1:1" x14ac:dyDescent="0.25">
      <c r="A155" s="1" t="s">
        <v>4</v>
      </c>
    </row>
    <row r="156" spans="1:1" x14ac:dyDescent="0.25">
      <c r="A156" s="1" t="s">
        <v>5</v>
      </c>
    </row>
    <row r="157" spans="1:1" x14ac:dyDescent="0.25">
      <c r="A157" s="1" t="s">
        <v>6</v>
      </c>
    </row>
    <row r="158" spans="1:1" x14ac:dyDescent="0.25">
      <c r="A158" s="1" t="s">
        <v>7</v>
      </c>
    </row>
    <row r="159" spans="1:1" x14ac:dyDescent="0.25">
      <c r="A159" s="1" t="s">
        <v>8</v>
      </c>
    </row>
    <row r="160" spans="1:1" x14ac:dyDescent="0.25">
      <c r="A160" s="1" t="s">
        <v>9</v>
      </c>
    </row>
    <row r="161" spans="1:1" x14ac:dyDescent="0.25">
      <c r="A161" s="1" t="s">
        <v>10</v>
      </c>
    </row>
    <row r="162" spans="1:1" x14ac:dyDescent="0.25">
      <c r="A162" s="1" t="s">
        <v>11</v>
      </c>
    </row>
    <row r="163" spans="1:1" x14ac:dyDescent="0.25">
      <c r="A163" s="1" t="s">
        <v>35</v>
      </c>
    </row>
    <row r="164" spans="1:1" x14ac:dyDescent="0.25">
      <c r="A164" s="1" t="s">
        <v>13</v>
      </c>
    </row>
    <row r="165" spans="1:1" x14ac:dyDescent="0.25">
      <c r="A165" s="1" t="s">
        <v>36</v>
      </c>
    </row>
    <row r="166" spans="1:1" x14ac:dyDescent="0.25">
      <c r="A166" s="1" t="s">
        <v>15</v>
      </c>
    </row>
    <row r="167" spans="1:1" x14ac:dyDescent="0.25">
      <c r="A167" s="1" t="s">
        <v>37</v>
      </c>
    </row>
    <row r="168" spans="1:1" x14ac:dyDescent="0.25">
      <c r="A168" s="1" t="s">
        <v>17</v>
      </c>
    </row>
    <row r="169" spans="1:1" x14ac:dyDescent="0.25">
      <c r="A169" s="1" t="s">
        <v>38</v>
      </c>
    </row>
    <row r="170" spans="1:1" x14ac:dyDescent="0.25">
      <c r="A170" s="1" t="s">
        <v>17</v>
      </c>
    </row>
    <row r="171" spans="1:1" x14ac:dyDescent="0.25">
      <c r="A171" s="1" t="s">
        <v>39</v>
      </c>
    </row>
    <row r="172" spans="1:1" x14ac:dyDescent="0.25">
      <c r="A172" s="1" t="s">
        <v>20</v>
      </c>
    </row>
    <row r="173" spans="1:1" x14ac:dyDescent="0.25">
      <c r="A173" s="1" t="s">
        <v>21</v>
      </c>
    </row>
    <row r="190" spans="1:1" x14ac:dyDescent="0.25">
      <c r="A190" s="1" t="s">
        <v>0</v>
      </c>
    </row>
    <row r="191" spans="1:1" x14ac:dyDescent="0.25">
      <c r="A191" s="1" t="s">
        <v>1</v>
      </c>
    </row>
    <row r="193" spans="1:1" x14ac:dyDescent="0.25">
      <c r="A193" s="1" t="s">
        <v>2</v>
      </c>
    </row>
    <row r="195" spans="1:1" x14ac:dyDescent="0.25">
      <c r="A195" s="1" t="s">
        <v>40</v>
      </c>
    </row>
    <row r="198" spans="1:1" x14ac:dyDescent="0.25">
      <c r="A198" s="1" t="s">
        <v>4</v>
      </c>
    </row>
    <row r="199" spans="1:1" x14ac:dyDescent="0.25">
      <c r="A199" s="1" t="s">
        <v>5</v>
      </c>
    </row>
    <row r="200" spans="1:1" x14ac:dyDescent="0.25">
      <c r="A200" s="1" t="s">
        <v>6</v>
      </c>
    </row>
    <row r="201" spans="1:1" x14ac:dyDescent="0.25">
      <c r="A201" s="1" t="s">
        <v>7</v>
      </c>
    </row>
    <row r="202" spans="1:1" x14ac:dyDescent="0.25">
      <c r="A202" s="1" t="s">
        <v>8</v>
      </c>
    </row>
    <row r="203" spans="1:1" x14ac:dyDescent="0.25">
      <c r="A203" s="1" t="s">
        <v>9</v>
      </c>
    </row>
    <row r="204" spans="1:1" x14ac:dyDescent="0.25">
      <c r="A204" s="1" t="s">
        <v>10</v>
      </c>
    </row>
    <row r="205" spans="1:1" x14ac:dyDescent="0.25">
      <c r="A205" s="1" t="s">
        <v>11</v>
      </c>
    </row>
    <row r="206" spans="1:1" x14ac:dyDescent="0.25">
      <c r="A206" s="1" t="s">
        <v>41</v>
      </c>
    </row>
    <row r="207" spans="1:1" x14ac:dyDescent="0.25">
      <c r="A207" s="1" t="s">
        <v>13</v>
      </c>
    </row>
    <row r="208" spans="1:1" x14ac:dyDescent="0.25">
      <c r="A208" s="1" t="s">
        <v>42</v>
      </c>
    </row>
    <row r="209" spans="1:1" x14ac:dyDescent="0.25">
      <c r="A209" s="1" t="s">
        <v>15</v>
      </c>
    </row>
    <row r="210" spans="1:1" x14ac:dyDescent="0.25">
      <c r="A210" s="1" t="s">
        <v>43</v>
      </c>
    </row>
    <row r="211" spans="1:1" x14ac:dyDescent="0.25">
      <c r="A211" s="1" t="s">
        <v>17</v>
      </c>
    </row>
    <row r="212" spans="1:1" x14ac:dyDescent="0.25">
      <c r="A212" s="1" t="s">
        <v>44</v>
      </c>
    </row>
    <row r="213" spans="1:1" x14ac:dyDescent="0.25">
      <c r="A213" s="1" t="s">
        <v>17</v>
      </c>
    </row>
    <row r="214" spans="1:1" x14ac:dyDescent="0.25">
      <c r="A214" s="1" t="s">
        <v>45</v>
      </c>
    </row>
    <row r="215" spans="1:1" x14ac:dyDescent="0.25">
      <c r="A215" s="1" t="s">
        <v>20</v>
      </c>
    </row>
    <row r="216" spans="1:1" x14ac:dyDescent="0.25">
      <c r="A216" s="1" t="s">
        <v>21</v>
      </c>
    </row>
    <row r="233" spans="1:1" x14ac:dyDescent="0.25">
      <c r="A233" s="1" t="s">
        <v>0</v>
      </c>
    </row>
    <row r="234" spans="1:1" x14ac:dyDescent="0.25">
      <c r="A234" s="1" t="s">
        <v>1</v>
      </c>
    </row>
    <row r="236" spans="1:1" x14ac:dyDescent="0.25">
      <c r="A236" s="1" t="s">
        <v>2</v>
      </c>
    </row>
    <row r="238" spans="1:1" x14ac:dyDescent="0.25">
      <c r="A238" s="1" t="s">
        <v>46</v>
      </c>
    </row>
    <row r="241" spans="1:1" x14ac:dyDescent="0.25">
      <c r="A241" s="1" t="s">
        <v>4</v>
      </c>
    </row>
    <row r="242" spans="1:1" x14ac:dyDescent="0.25">
      <c r="A242" s="1" t="s">
        <v>5</v>
      </c>
    </row>
    <row r="243" spans="1:1" x14ac:dyDescent="0.25">
      <c r="A243" s="1" t="s">
        <v>6</v>
      </c>
    </row>
    <row r="244" spans="1:1" x14ac:dyDescent="0.25">
      <c r="A244" s="1" t="s">
        <v>7</v>
      </c>
    </row>
    <row r="245" spans="1:1" x14ac:dyDescent="0.25">
      <c r="A245" s="1" t="s">
        <v>8</v>
      </c>
    </row>
    <row r="246" spans="1:1" x14ac:dyDescent="0.25">
      <c r="A246" s="1" t="s">
        <v>9</v>
      </c>
    </row>
    <row r="247" spans="1:1" x14ac:dyDescent="0.25">
      <c r="A247" s="1" t="s">
        <v>10</v>
      </c>
    </row>
    <row r="248" spans="1:1" x14ac:dyDescent="0.25">
      <c r="A248" s="1" t="s">
        <v>11</v>
      </c>
    </row>
    <row r="249" spans="1:1" x14ac:dyDescent="0.25">
      <c r="A249" s="1" t="s">
        <v>29</v>
      </c>
    </row>
    <row r="250" spans="1:1" x14ac:dyDescent="0.25">
      <c r="A250" s="1" t="s">
        <v>13</v>
      </c>
    </row>
    <row r="251" spans="1:1" x14ac:dyDescent="0.25">
      <c r="A251" s="1" t="s">
        <v>42</v>
      </c>
    </row>
    <row r="252" spans="1:1" x14ac:dyDescent="0.25">
      <c r="A252" s="1" t="s">
        <v>15</v>
      </c>
    </row>
    <row r="253" spans="1:1" x14ac:dyDescent="0.25">
      <c r="A253" s="1" t="s">
        <v>47</v>
      </c>
    </row>
    <row r="254" spans="1:1" x14ac:dyDescent="0.25">
      <c r="A254" s="1" t="s">
        <v>17</v>
      </c>
    </row>
    <row r="255" spans="1:1" x14ac:dyDescent="0.25">
      <c r="A255" s="1" t="s">
        <v>48</v>
      </c>
    </row>
    <row r="256" spans="1:1" x14ac:dyDescent="0.25">
      <c r="A256" s="1" t="s">
        <v>17</v>
      </c>
    </row>
    <row r="257" spans="1:1" x14ac:dyDescent="0.25">
      <c r="A257" s="1" t="s">
        <v>49</v>
      </c>
    </row>
    <row r="258" spans="1:1" x14ac:dyDescent="0.25">
      <c r="A258" s="1" t="s">
        <v>20</v>
      </c>
    </row>
    <row r="259" spans="1:1" x14ac:dyDescent="0.25">
      <c r="A259" s="1" t="s">
        <v>21</v>
      </c>
    </row>
    <row r="276" spans="1:1" x14ac:dyDescent="0.25">
      <c r="A276" s="1" t="s">
        <v>0</v>
      </c>
    </row>
    <row r="277" spans="1:1" x14ac:dyDescent="0.25">
      <c r="A277" s="1" t="s">
        <v>1</v>
      </c>
    </row>
    <row r="279" spans="1:1" x14ac:dyDescent="0.25">
      <c r="A279" s="1" t="s">
        <v>2</v>
      </c>
    </row>
    <row r="281" spans="1:1" x14ac:dyDescent="0.25">
      <c r="A281" s="1" t="s">
        <v>50</v>
      </c>
    </row>
    <row r="284" spans="1:1" x14ac:dyDescent="0.25">
      <c r="A284" s="1" t="s">
        <v>4</v>
      </c>
    </row>
    <row r="285" spans="1:1" x14ac:dyDescent="0.25">
      <c r="A285" s="1" t="s">
        <v>5</v>
      </c>
    </row>
    <row r="286" spans="1:1" x14ac:dyDescent="0.25">
      <c r="A286" s="1" t="s">
        <v>6</v>
      </c>
    </row>
    <row r="287" spans="1:1" x14ac:dyDescent="0.25">
      <c r="A287" s="1" t="s">
        <v>7</v>
      </c>
    </row>
    <row r="288" spans="1:1" x14ac:dyDescent="0.25">
      <c r="A288" s="1" t="s">
        <v>8</v>
      </c>
    </row>
    <row r="289" spans="1:1" x14ac:dyDescent="0.25">
      <c r="A289" s="1" t="s">
        <v>9</v>
      </c>
    </row>
    <row r="290" spans="1:1" x14ac:dyDescent="0.25">
      <c r="A290" s="1" t="s">
        <v>10</v>
      </c>
    </row>
    <row r="291" spans="1:1" x14ac:dyDescent="0.25">
      <c r="A291" s="1" t="s">
        <v>11</v>
      </c>
    </row>
    <row r="292" spans="1:1" x14ac:dyDescent="0.25">
      <c r="A292" s="1" t="s">
        <v>51</v>
      </c>
    </row>
    <row r="293" spans="1:1" x14ac:dyDescent="0.25">
      <c r="A293" s="1" t="s">
        <v>13</v>
      </c>
    </row>
    <row r="294" spans="1:1" x14ac:dyDescent="0.25">
      <c r="A294" s="1" t="s">
        <v>52</v>
      </c>
    </row>
    <row r="295" spans="1:1" x14ac:dyDescent="0.25">
      <c r="A295" s="1" t="s">
        <v>15</v>
      </c>
    </row>
    <row r="296" spans="1:1" x14ac:dyDescent="0.25">
      <c r="A296" s="1" t="s">
        <v>37</v>
      </c>
    </row>
    <row r="297" spans="1:1" x14ac:dyDescent="0.25">
      <c r="A297" s="1" t="s">
        <v>17</v>
      </c>
    </row>
    <row r="298" spans="1:1" x14ac:dyDescent="0.25">
      <c r="A298" s="1" t="s">
        <v>53</v>
      </c>
    </row>
    <row r="299" spans="1:1" x14ac:dyDescent="0.25">
      <c r="A299" s="1" t="s">
        <v>17</v>
      </c>
    </row>
    <row r="300" spans="1:1" x14ac:dyDescent="0.25">
      <c r="A300" s="1" t="s">
        <v>54</v>
      </c>
    </row>
    <row r="301" spans="1:1" x14ac:dyDescent="0.25">
      <c r="A301" s="1" t="s">
        <v>20</v>
      </c>
    </row>
    <row r="302" spans="1:1" x14ac:dyDescent="0.25">
      <c r="A302" s="1" t="s">
        <v>21</v>
      </c>
    </row>
    <row r="319" spans="1:1" x14ac:dyDescent="0.25">
      <c r="A319" s="1" t="s">
        <v>0</v>
      </c>
    </row>
    <row r="320" spans="1:1" x14ac:dyDescent="0.25">
      <c r="A320" s="1" t="s">
        <v>1</v>
      </c>
    </row>
    <row r="322" spans="1:1" x14ac:dyDescent="0.25">
      <c r="A322" s="1" t="s">
        <v>2</v>
      </c>
    </row>
    <row r="324" spans="1:1" x14ac:dyDescent="0.25">
      <c r="A324" s="1" t="s">
        <v>55</v>
      </c>
    </row>
    <row r="327" spans="1:1" x14ac:dyDescent="0.25">
      <c r="A327" s="1" t="s">
        <v>4</v>
      </c>
    </row>
    <row r="328" spans="1:1" x14ac:dyDescent="0.25">
      <c r="A328" s="1" t="s">
        <v>5</v>
      </c>
    </row>
    <row r="329" spans="1:1" x14ac:dyDescent="0.25">
      <c r="A329" s="1" t="s">
        <v>6</v>
      </c>
    </row>
    <row r="330" spans="1:1" x14ac:dyDescent="0.25">
      <c r="A330" s="1" t="s">
        <v>7</v>
      </c>
    </row>
    <row r="331" spans="1:1" x14ac:dyDescent="0.25">
      <c r="A331" s="1" t="s">
        <v>8</v>
      </c>
    </row>
    <row r="332" spans="1:1" x14ac:dyDescent="0.25">
      <c r="A332" s="1" t="s">
        <v>9</v>
      </c>
    </row>
    <row r="333" spans="1:1" x14ac:dyDescent="0.25">
      <c r="A333" s="1" t="s">
        <v>10</v>
      </c>
    </row>
    <row r="334" spans="1:1" x14ac:dyDescent="0.25">
      <c r="A334" s="1" t="s">
        <v>11</v>
      </c>
    </row>
    <row r="335" spans="1:1" x14ac:dyDescent="0.25">
      <c r="A335" s="1" t="s">
        <v>56</v>
      </c>
    </row>
    <row r="336" spans="1:1" x14ac:dyDescent="0.25">
      <c r="A336" s="1" t="s">
        <v>13</v>
      </c>
    </row>
    <row r="337" spans="1:1" x14ac:dyDescent="0.25">
      <c r="A337" s="1" t="s">
        <v>30</v>
      </c>
    </row>
    <row r="338" spans="1:1" x14ac:dyDescent="0.25">
      <c r="A338" s="1" t="s">
        <v>15</v>
      </c>
    </row>
    <row r="339" spans="1:1" x14ac:dyDescent="0.25">
      <c r="A339" s="1" t="s">
        <v>57</v>
      </c>
    </row>
    <row r="340" spans="1:1" x14ac:dyDescent="0.25">
      <c r="A340" s="1" t="s">
        <v>17</v>
      </c>
    </row>
    <row r="341" spans="1:1" x14ac:dyDescent="0.25">
      <c r="A341" s="1" t="s">
        <v>58</v>
      </c>
    </row>
    <row r="342" spans="1:1" x14ac:dyDescent="0.25">
      <c r="A342" s="1" t="s">
        <v>17</v>
      </c>
    </row>
    <row r="343" spans="1:1" x14ac:dyDescent="0.25">
      <c r="A343" s="1" t="s">
        <v>59</v>
      </c>
    </row>
    <row r="344" spans="1:1" x14ac:dyDescent="0.25">
      <c r="A344" s="1" t="s">
        <v>20</v>
      </c>
    </row>
    <row r="345" spans="1:1" x14ac:dyDescent="0.25">
      <c r="A345" s="1" t="s">
        <v>21</v>
      </c>
    </row>
    <row r="362" spans="1:1" x14ac:dyDescent="0.25">
      <c r="A362" s="1" t="s">
        <v>0</v>
      </c>
    </row>
    <row r="363" spans="1:1" x14ac:dyDescent="0.25">
      <c r="A363" s="1" t="s">
        <v>1</v>
      </c>
    </row>
    <row r="365" spans="1:1" x14ac:dyDescent="0.25">
      <c r="A365" s="1" t="s">
        <v>2</v>
      </c>
    </row>
    <row r="367" spans="1:1" x14ac:dyDescent="0.25">
      <c r="A367" s="1" t="s">
        <v>60</v>
      </c>
    </row>
    <row r="370" spans="1:1" x14ac:dyDescent="0.25">
      <c r="A370" s="1" t="s">
        <v>4</v>
      </c>
    </row>
    <row r="371" spans="1:1" x14ac:dyDescent="0.25">
      <c r="A371" s="1" t="s">
        <v>5</v>
      </c>
    </row>
    <row r="372" spans="1:1" x14ac:dyDescent="0.25">
      <c r="A372" s="1" t="s">
        <v>6</v>
      </c>
    </row>
    <row r="373" spans="1:1" x14ac:dyDescent="0.25">
      <c r="A373" s="1" t="s">
        <v>7</v>
      </c>
    </row>
    <row r="374" spans="1:1" x14ac:dyDescent="0.25">
      <c r="A374" s="1" t="s">
        <v>8</v>
      </c>
    </row>
    <row r="375" spans="1:1" x14ac:dyDescent="0.25">
      <c r="A375" s="1" t="s">
        <v>9</v>
      </c>
    </row>
    <row r="376" spans="1:1" x14ac:dyDescent="0.25">
      <c r="A376" s="1" t="s">
        <v>10</v>
      </c>
    </row>
    <row r="377" spans="1:1" x14ac:dyDescent="0.25">
      <c r="A377" s="1" t="s">
        <v>11</v>
      </c>
    </row>
    <row r="378" spans="1:1" x14ac:dyDescent="0.25">
      <c r="A378" s="1" t="s">
        <v>61</v>
      </c>
    </row>
    <row r="379" spans="1:1" x14ac:dyDescent="0.25">
      <c r="A379" s="1" t="s">
        <v>13</v>
      </c>
    </row>
    <row r="380" spans="1:1" x14ac:dyDescent="0.25">
      <c r="A380" s="1" t="s">
        <v>42</v>
      </c>
    </row>
    <row r="381" spans="1:1" x14ac:dyDescent="0.25">
      <c r="A381" s="1" t="s">
        <v>15</v>
      </c>
    </row>
    <row r="382" spans="1:1" x14ac:dyDescent="0.25">
      <c r="A382" s="1" t="s">
        <v>62</v>
      </c>
    </row>
    <row r="383" spans="1:1" x14ac:dyDescent="0.25">
      <c r="A383" s="1" t="s">
        <v>17</v>
      </c>
    </row>
    <row r="384" spans="1:1" x14ac:dyDescent="0.25">
      <c r="A384" s="1" t="s">
        <v>63</v>
      </c>
    </row>
    <row r="385" spans="1:1" x14ac:dyDescent="0.25">
      <c r="A385" s="1" t="s">
        <v>17</v>
      </c>
    </row>
    <row r="386" spans="1:1" x14ac:dyDescent="0.25">
      <c r="A386" s="1" t="s">
        <v>64</v>
      </c>
    </row>
    <row r="387" spans="1:1" x14ac:dyDescent="0.25">
      <c r="A387" s="1" t="s">
        <v>20</v>
      </c>
    </row>
    <row r="388" spans="1:1" x14ac:dyDescent="0.25">
      <c r="A388" s="1" t="s">
        <v>21</v>
      </c>
    </row>
    <row r="405" spans="1:1" x14ac:dyDescent="0.25">
      <c r="A405" s="1" t="s">
        <v>0</v>
      </c>
    </row>
    <row r="406" spans="1:1" x14ac:dyDescent="0.25">
      <c r="A406" s="1" t="s">
        <v>1</v>
      </c>
    </row>
    <row r="408" spans="1:1" x14ac:dyDescent="0.25">
      <c r="A408" s="1" t="s">
        <v>2</v>
      </c>
    </row>
    <row r="410" spans="1:1" x14ac:dyDescent="0.25">
      <c r="A410" s="1" t="s">
        <v>65</v>
      </c>
    </row>
    <row r="413" spans="1:1" x14ac:dyDescent="0.25">
      <c r="A413" s="1" t="s">
        <v>4</v>
      </c>
    </row>
    <row r="414" spans="1:1" x14ac:dyDescent="0.25">
      <c r="A414" s="1" t="s">
        <v>5</v>
      </c>
    </row>
    <row r="415" spans="1:1" x14ac:dyDescent="0.25">
      <c r="A415" s="1" t="s">
        <v>6</v>
      </c>
    </row>
    <row r="416" spans="1:1" x14ac:dyDescent="0.25">
      <c r="A416" s="1" t="s">
        <v>7</v>
      </c>
    </row>
    <row r="417" spans="1:1" x14ac:dyDescent="0.25">
      <c r="A417" s="1" t="s">
        <v>8</v>
      </c>
    </row>
    <row r="418" spans="1:1" x14ac:dyDescent="0.25">
      <c r="A418" s="1" t="s">
        <v>9</v>
      </c>
    </row>
    <row r="419" spans="1:1" x14ac:dyDescent="0.25">
      <c r="A419" s="1" t="s">
        <v>10</v>
      </c>
    </row>
    <row r="420" spans="1:1" x14ac:dyDescent="0.25">
      <c r="A420" s="1" t="s">
        <v>11</v>
      </c>
    </row>
    <row r="421" spans="1:1" x14ac:dyDescent="0.25">
      <c r="A421" s="1" t="s">
        <v>66</v>
      </c>
    </row>
    <row r="422" spans="1:1" x14ac:dyDescent="0.25">
      <c r="A422" s="1" t="s">
        <v>13</v>
      </c>
    </row>
    <row r="423" spans="1:1" x14ac:dyDescent="0.25">
      <c r="A423" s="1" t="s">
        <v>67</v>
      </c>
    </row>
    <row r="424" spans="1:1" x14ac:dyDescent="0.25">
      <c r="A424" s="1" t="s">
        <v>15</v>
      </c>
    </row>
    <row r="425" spans="1:1" x14ac:dyDescent="0.25">
      <c r="A425" s="1" t="s">
        <v>68</v>
      </c>
    </row>
    <row r="426" spans="1:1" x14ac:dyDescent="0.25">
      <c r="A426" s="1" t="s">
        <v>17</v>
      </c>
    </row>
    <row r="427" spans="1:1" x14ac:dyDescent="0.25">
      <c r="A427" s="1" t="s">
        <v>69</v>
      </c>
    </row>
    <row r="428" spans="1:1" x14ac:dyDescent="0.25">
      <c r="A428" s="1" t="s">
        <v>17</v>
      </c>
    </row>
    <row r="429" spans="1:1" x14ac:dyDescent="0.25">
      <c r="A429" s="1" t="s">
        <v>70</v>
      </c>
    </row>
    <row r="430" spans="1:1" x14ac:dyDescent="0.25">
      <c r="A430" s="1" t="s">
        <v>20</v>
      </c>
    </row>
    <row r="431" spans="1:1" x14ac:dyDescent="0.25">
      <c r="A431" s="1" t="s">
        <v>21</v>
      </c>
    </row>
    <row r="448" spans="1:1" x14ac:dyDescent="0.25">
      <c r="A448" s="1" t="s">
        <v>0</v>
      </c>
    </row>
    <row r="449" spans="1:1" x14ac:dyDescent="0.25">
      <c r="A449" s="1" t="s">
        <v>1</v>
      </c>
    </row>
    <row r="451" spans="1:1" x14ac:dyDescent="0.25">
      <c r="A451" s="1" t="s">
        <v>2</v>
      </c>
    </row>
    <row r="453" spans="1:1" x14ac:dyDescent="0.25">
      <c r="A453" s="1" t="s">
        <v>71</v>
      </c>
    </row>
    <row r="456" spans="1:1" x14ac:dyDescent="0.25">
      <c r="A456" s="1" t="s">
        <v>4</v>
      </c>
    </row>
    <row r="457" spans="1:1" x14ac:dyDescent="0.25">
      <c r="A457" s="1" t="s">
        <v>5</v>
      </c>
    </row>
    <row r="458" spans="1:1" x14ac:dyDescent="0.25">
      <c r="A458" s="1" t="s">
        <v>6</v>
      </c>
    </row>
    <row r="459" spans="1:1" x14ac:dyDescent="0.25">
      <c r="A459" s="1" t="s">
        <v>7</v>
      </c>
    </row>
    <row r="460" spans="1:1" x14ac:dyDescent="0.25">
      <c r="A460" s="1" t="s">
        <v>8</v>
      </c>
    </row>
    <row r="461" spans="1:1" x14ac:dyDescent="0.25">
      <c r="A461" s="1" t="s">
        <v>9</v>
      </c>
    </row>
    <row r="462" spans="1:1" x14ac:dyDescent="0.25">
      <c r="A462" s="1" t="s">
        <v>10</v>
      </c>
    </row>
    <row r="463" spans="1:1" x14ac:dyDescent="0.25">
      <c r="A463" s="1" t="s">
        <v>11</v>
      </c>
    </row>
    <row r="464" spans="1:1" x14ac:dyDescent="0.25">
      <c r="A464" s="1" t="s">
        <v>29</v>
      </c>
    </row>
    <row r="465" spans="1:1" x14ac:dyDescent="0.25">
      <c r="A465" s="1" t="s">
        <v>13</v>
      </c>
    </row>
    <row r="466" spans="1:1" x14ac:dyDescent="0.25">
      <c r="A466" s="1" t="s">
        <v>42</v>
      </c>
    </row>
    <row r="467" spans="1:1" x14ac:dyDescent="0.25">
      <c r="A467" s="1" t="s">
        <v>15</v>
      </c>
    </row>
    <row r="468" spans="1:1" x14ac:dyDescent="0.25">
      <c r="A468" s="1" t="s">
        <v>37</v>
      </c>
    </row>
    <row r="469" spans="1:1" x14ac:dyDescent="0.25">
      <c r="A469" s="1" t="s">
        <v>17</v>
      </c>
    </row>
    <row r="470" spans="1:1" x14ac:dyDescent="0.25">
      <c r="A470" s="1" t="s">
        <v>72</v>
      </c>
    </row>
    <row r="471" spans="1:1" x14ac:dyDescent="0.25">
      <c r="A471" s="1" t="s">
        <v>17</v>
      </c>
    </row>
    <row r="472" spans="1:1" x14ac:dyDescent="0.25">
      <c r="A472" s="1" t="s">
        <v>73</v>
      </c>
    </row>
    <row r="473" spans="1:1" x14ac:dyDescent="0.25">
      <c r="A473" s="1" t="s">
        <v>20</v>
      </c>
    </row>
    <row r="474" spans="1:1" x14ac:dyDescent="0.25">
      <c r="A474" s="1" t="s">
        <v>21</v>
      </c>
    </row>
    <row r="491" spans="1:1" x14ac:dyDescent="0.25">
      <c r="A491" s="1" t="s">
        <v>0</v>
      </c>
    </row>
    <row r="492" spans="1:1" x14ac:dyDescent="0.25">
      <c r="A492" s="1" t="s">
        <v>1</v>
      </c>
    </row>
    <row r="494" spans="1:1" x14ac:dyDescent="0.25">
      <c r="A494" s="1" t="s">
        <v>2</v>
      </c>
    </row>
    <row r="496" spans="1:1" x14ac:dyDescent="0.25">
      <c r="A496" s="1" t="s">
        <v>74</v>
      </c>
    </row>
    <row r="499" spans="1:1" x14ac:dyDescent="0.25">
      <c r="A499" s="1" t="s">
        <v>4</v>
      </c>
    </row>
    <row r="500" spans="1:1" x14ac:dyDescent="0.25">
      <c r="A500" s="1" t="s">
        <v>5</v>
      </c>
    </row>
    <row r="501" spans="1:1" x14ac:dyDescent="0.25">
      <c r="A501" s="1" t="s">
        <v>6</v>
      </c>
    </row>
    <row r="502" spans="1:1" x14ac:dyDescent="0.25">
      <c r="A502" s="1" t="s">
        <v>7</v>
      </c>
    </row>
    <row r="503" spans="1:1" x14ac:dyDescent="0.25">
      <c r="A503" s="1" t="s">
        <v>8</v>
      </c>
    </row>
    <row r="504" spans="1:1" x14ac:dyDescent="0.25">
      <c r="A504" s="1" t="s">
        <v>9</v>
      </c>
    </row>
    <row r="505" spans="1:1" x14ac:dyDescent="0.25">
      <c r="A505" s="1" t="s">
        <v>10</v>
      </c>
    </row>
    <row r="506" spans="1:1" x14ac:dyDescent="0.25">
      <c r="A506" s="1" t="s">
        <v>11</v>
      </c>
    </row>
    <row r="507" spans="1:1" x14ac:dyDescent="0.25">
      <c r="A507" s="1" t="s">
        <v>75</v>
      </c>
    </row>
    <row r="508" spans="1:1" x14ac:dyDescent="0.25">
      <c r="A508" s="1" t="s">
        <v>13</v>
      </c>
    </row>
    <row r="509" spans="1:1" x14ac:dyDescent="0.25">
      <c r="A509" s="1" t="s">
        <v>76</v>
      </c>
    </row>
    <row r="510" spans="1:1" x14ac:dyDescent="0.25">
      <c r="A510" s="1" t="s">
        <v>15</v>
      </c>
    </row>
    <row r="511" spans="1:1" x14ac:dyDescent="0.25">
      <c r="A511" s="1" t="s">
        <v>77</v>
      </c>
    </row>
    <row r="512" spans="1:1" x14ac:dyDescent="0.25">
      <c r="A512" s="1" t="s">
        <v>17</v>
      </c>
    </row>
    <row r="513" spans="1:1" x14ac:dyDescent="0.25">
      <c r="A513" s="1" t="s">
        <v>78</v>
      </c>
    </row>
    <row r="514" spans="1:1" x14ac:dyDescent="0.25">
      <c r="A514" s="1" t="s">
        <v>17</v>
      </c>
    </row>
    <row r="515" spans="1:1" x14ac:dyDescent="0.25">
      <c r="A515" s="1" t="s">
        <v>79</v>
      </c>
    </row>
    <row r="516" spans="1:1" x14ac:dyDescent="0.25">
      <c r="A516" s="1" t="s">
        <v>20</v>
      </c>
    </row>
    <row r="517" spans="1:1" x14ac:dyDescent="0.25">
      <c r="A517" s="1" t="s">
        <v>21</v>
      </c>
    </row>
    <row r="534" spans="1:1" x14ac:dyDescent="0.25">
      <c r="A534" s="1" t="s">
        <v>0</v>
      </c>
    </row>
    <row r="535" spans="1:1" x14ac:dyDescent="0.25">
      <c r="A535" s="1" t="s">
        <v>1</v>
      </c>
    </row>
    <row r="537" spans="1:1" x14ac:dyDescent="0.25">
      <c r="A537" s="1" t="s">
        <v>2</v>
      </c>
    </row>
    <row r="539" spans="1:1" x14ac:dyDescent="0.25">
      <c r="A539" s="1" t="s">
        <v>80</v>
      </c>
    </row>
    <row r="542" spans="1:1" x14ac:dyDescent="0.25">
      <c r="A542" s="1" t="s">
        <v>4</v>
      </c>
    </row>
    <row r="543" spans="1:1" x14ac:dyDescent="0.25">
      <c r="A543" s="1" t="s">
        <v>5</v>
      </c>
    </row>
    <row r="544" spans="1:1" x14ac:dyDescent="0.25">
      <c r="A544" s="1" t="s">
        <v>6</v>
      </c>
    </row>
    <row r="545" spans="1:1" x14ac:dyDescent="0.25">
      <c r="A545" s="1" t="s">
        <v>7</v>
      </c>
    </row>
    <row r="546" spans="1:1" x14ac:dyDescent="0.25">
      <c r="A546" s="1" t="s">
        <v>8</v>
      </c>
    </row>
    <row r="547" spans="1:1" x14ac:dyDescent="0.25">
      <c r="A547" s="1" t="s">
        <v>9</v>
      </c>
    </row>
    <row r="548" spans="1:1" x14ac:dyDescent="0.25">
      <c r="A548" s="1" t="s">
        <v>10</v>
      </c>
    </row>
    <row r="549" spans="1:1" x14ac:dyDescent="0.25">
      <c r="A549" s="1" t="s">
        <v>11</v>
      </c>
    </row>
    <row r="550" spans="1:1" x14ac:dyDescent="0.25">
      <c r="A550" s="1" t="s">
        <v>81</v>
      </c>
    </row>
    <row r="551" spans="1:1" x14ac:dyDescent="0.25">
      <c r="A551" s="1" t="s">
        <v>13</v>
      </c>
    </row>
    <row r="552" spans="1:1" x14ac:dyDescent="0.25">
      <c r="A552" s="1" t="s">
        <v>42</v>
      </c>
    </row>
    <row r="553" spans="1:1" x14ac:dyDescent="0.25">
      <c r="A553" s="1" t="s">
        <v>15</v>
      </c>
    </row>
    <row r="554" spans="1:1" x14ac:dyDescent="0.25">
      <c r="A554" s="1" t="s">
        <v>16</v>
      </c>
    </row>
    <row r="555" spans="1:1" x14ac:dyDescent="0.25">
      <c r="A555" s="1" t="s">
        <v>17</v>
      </c>
    </row>
    <row r="556" spans="1:1" x14ac:dyDescent="0.25">
      <c r="A556" s="1" t="s">
        <v>82</v>
      </c>
    </row>
    <row r="557" spans="1:1" x14ac:dyDescent="0.25">
      <c r="A557" s="1" t="s">
        <v>17</v>
      </c>
    </row>
    <row r="558" spans="1:1" x14ac:dyDescent="0.25">
      <c r="A558" s="1" t="s">
        <v>83</v>
      </c>
    </row>
    <row r="559" spans="1:1" x14ac:dyDescent="0.25">
      <c r="A559" s="1" t="s">
        <v>20</v>
      </c>
    </row>
    <row r="560" spans="1:1" x14ac:dyDescent="0.25">
      <c r="A560" s="1" t="s">
        <v>21</v>
      </c>
    </row>
    <row r="577" spans="1:1" x14ac:dyDescent="0.25">
      <c r="A577" s="1" t="s">
        <v>0</v>
      </c>
    </row>
    <row r="578" spans="1:1" x14ac:dyDescent="0.25">
      <c r="A578" s="1" t="s">
        <v>1</v>
      </c>
    </row>
    <row r="580" spans="1:1" x14ac:dyDescent="0.25">
      <c r="A580" s="1" t="s">
        <v>2</v>
      </c>
    </row>
    <row r="582" spans="1:1" x14ac:dyDescent="0.25">
      <c r="A582" s="1" t="s">
        <v>84</v>
      </c>
    </row>
    <row r="585" spans="1:1" x14ac:dyDescent="0.25">
      <c r="A585" s="1" t="s">
        <v>4</v>
      </c>
    </row>
    <row r="586" spans="1:1" x14ac:dyDescent="0.25">
      <c r="A586" s="1" t="s">
        <v>5</v>
      </c>
    </row>
    <row r="587" spans="1:1" x14ac:dyDescent="0.25">
      <c r="A587" s="1" t="s">
        <v>6</v>
      </c>
    </row>
    <row r="588" spans="1:1" x14ac:dyDescent="0.25">
      <c r="A588" s="1" t="s">
        <v>7</v>
      </c>
    </row>
    <row r="589" spans="1:1" x14ac:dyDescent="0.25">
      <c r="A589" s="1" t="s">
        <v>8</v>
      </c>
    </row>
    <row r="590" spans="1:1" x14ac:dyDescent="0.25">
      <c r="A590" s="1" t="s">
        <v>9</v>
      </c>
    </row>
    <row r="591" spans="1:1" x14ac:dyDescent="0.25">
      <c r="A591" s="1" t="s">
        <v>10</v>
      </c>
    </row>
    <row r="592" spans="1:1" x14ac:dyDescent="0.25">
      <c r="A592" s="1" t="s">
        <v>11</v>
      </c>
    </row>
    <row r="593" spans="1:1" x14ac:dyDescent="0.25">
      <c r="A593" s="1" t="s">
        <v>85</v>
      </c>
    </row>
    <row r="594" spans="1:1" x14ac:dyDescent="0.25">
      <c r="A594" s="1" t="s">
        <v>13</v>
      </c>
    </row>
    <row r="595" spans="1:1" x14ac:dyDescent="0.25">
      <c r="A595" s="1" t="s">
        <v>42</v>
      </c>
    </row>
    <row r="596" spans="1:1" x14ac:dyDescent="0.25">
      <c r="A596" s="1" t="s">
        <v>15</v>
      </c>
    </row>
    <row r="597" spans="1:1" x14ac:dyDescent="0.25">
      <c r="A597" s="1" t="s">
        <v>37</v>
      </c>
    </row>
    <row r="598" spans="1:1" x14ac:dyDescent="0.25">
      <c r="A598" s="1" t="s">
        <v>17</v>
      </c>
    </row>
    <row r="599" spans="1:1" x14ac:dyDescent="0.25">
      <c r="A599" s="1" t="s">
        <v>86</v>
      </c>
    </row>
    <row r="600" spans="1:1" x14ac:dyDescent="0.25">
      <c r="A600" s="1" t="s">
        <v>17</v>
      </c>
    </row>
    <row r="601" spans="1:1" x14ac:dyDescent="0.25">
      <c r="A601" s="1" t="s">
        <v>87</v>
      </c>
    </row>
    <row r="602" spans="1:1" x14ac:dyDescent="0.25">
      <c r="A602" s="1" t="s">
        <v>20</v>
      </c>
    </row>
    <row r="603" spans="1:1" x14ac:dyDescent="0.25">
      <c r="A603" s="1" t="s">
        <v>21</v>
      </c>
    </row>
    <row r="620" spans="1:1" x14ac:dyDescent="0.25">
      <c r="A620" s="1" t="s">
        <v>0</v>
      </c>
    </row>
    <row r="621" spans="1:1" x14ac:dyDescent="0.25">
      <c r="A621" s="1" t="s">
        <v>1</v>
      </c>
    </row>
    <row r="623" spans="1:1" x14ac:dyDescent="0.25">
      <c r="A623" s="1" t="s">
        <v>2</v>
      </c>
    </row>
    <row r="625" spans="1:1" x14ac:dyDescent="0.25">
      <c r="A625" s="1" t="s">
        <v>88</v>
      </c>
    </row>
    <row r="628" spans="1:1" x14ac:dyDescent="0.25">
      <c r="A628" s="1" t="s">
        <v>4</v>
      </c>
    </row>
    <row r="629" spans="1:1" x14ac:dyDescent="0.25">
      <c r="A629" s="1" t="s">
        <v>5</v>
      </c>
    </row>
    <row r="630" spans="1:1" x14ac:dyDescent="0.25">
      <c r="A630" s="1" t="s">
        <v>6</v>
      </c>
    </row>
    <row r="631" spans="1:1" x14ac:dyDescent="0.25">
      <c r="A631" s="1" t="s">
        <v>7</v>
      </c>
    </row>
    <row r="632" spans="1:1" x14ac:dyDescent="0.25">
      <c r="A632" s="1" t="s">
        <v>8</v>
      </c>
    </row>
    <row r="633" spans="1:1" x14ac:dyDescent="0.25">
      <c r="A633" s="1" t="s">
        <v>9</v>
      </c>
    </row>
    <row r="634" spans="1:1" x14ac:dyDescent="0.25">
      <c r="A634" s="1" t="s">
        <v>10</v>
      </c>
    </row>
    <row r="635" spans="1:1" x14ac:dyDescent="0.25">
      <c r="A635" s="1" t="s">
        <v>11</v>
      </c>
    </row>
    <row r="636" spans="1:1" x14ac:dyDescent="0.25">
      <c r="A636" s="1" t="s">
        <v>41</v>
      </c>
    </row>
    <row r="637" spans="1:1" x14ac:dyDescent="0.25">
      <c r="A637" s="1" t="s">
        <v>13</v>
      </c>
    </row>
    <row r="638" spans="1:1" x14ac:dyDescent="0.25">
      <c r="A638" s="1" t="s">
        <v>42</v>
      </c>
    </row>
    <row r="639" spans="1:1" x14ac:dyDescent="0.25">
      <c r="A639" s="1" t="s">
        <v>15</v>
      </c>
    </row>
    <row r="640" spans="1:1" x14ac:dyDescent="0.25">
      <c r="A640" s="1" t="s">
        <v>31</v>
      </c>
    </row>
    <row r="641" spans="1:1" x14ac:dyDescent="0.25">
      <c r="A641" s="1" t="s">
        <v>17</v>
      </c>
    </row>
    <row r="642" spans="1:1" x14ac:dyDescent="0.25">
      <c r="A642" s="1" t="s">
        <v>89</v>
      </c>
    </row>
    <row r="643" spans="1:1" x14ac:dyDescent="0.25">
      <c r="A643" s="1" t="s">
        <v>17</v>
      </c>
    </row>
    <row r="644" spans="1:1" x14ac:dyDescent="0.25">
      <c r="A644" s="1" t="s">
        <v>90</v>
      </c>
    </row>
    <row r="645" spans="1:1" x14ac:dyDescent="0.25">
      <c r="A645" s="1" t="s">
        <v>20</v>
      </c>
    </row>
    <row r="646" spans="1:1" x14ac:dyDescent="0.25">
      <c r="A646" s="1" t="s">
        <v>21</v>
      </c>
    </row>
    <row r="663" spans="1:1" x14ac:dyDescent="0.25">
      <c r="A663" s="1" t="s">
        <v>0</v>
      </c>
    </row>
    <row r="664" spans="1:1" x14ac:dyDescent="0.25">
      <c r="A664" s="1" t="s">
        <v>1</v>
      </c>
    </row>
    <row r="666" spans="1:1" x14ac:dyDescent="0.25">
      <c r="A666" s="1" t="s">
        <v>2</v>
      </c>
    </row>
    <row r="668" spans="1:1" x14ac:dyDescent="0.25">
      <c r="A668" s="1" t="s">
        <v>91</v>
      </c>
    </row>
    <row r="671" spans="1:1" x14ac:dyDescent="0.25">
      <c r="A671" s="1" t="s">
        <v>4</v>
      </c>
    </row>
    <row r="672" spans="1:1" x14ac:dyDescent="0.25">
      <c r="A672" s="1" t="s">
        <v>5</v>
      </c>
    </row>
    <row r="673" spans="1:1" x14ac:dyDescent="0.25">
      <c r="A673" s="1" t="s">
        <v>6</v>
      </c>
    </row>
    <row r="674" spans="1:1" x14ac:dyDescent="0.25">
      <c r="A674" s="1" t="s">
        <v>7</v>
      </c>
    </row>
    <row r="675" spans="1:1" x14ac:dyDescent="0.25">
      <c r="A675" s="1" t="s">
        <v>8</v>
      </c>
    </row>
    <row r="676" spans="1:1" x14ac:dyDescent="0.25">
      <c r="A676" s="1" t="s">
        <v>9</v>
      </c>
    </row>
    <row r="677" spans="1:1" x14ac:dyDescent="0.25">
      <c r="A677" s="1" t="s">
        <v>10</v>
      </c>
    </row>
    <row r="678" spans="1:1" x14ac:dyDescent="0.25">
      <c r="A678" s="1" t="s">
        <v>11</v>
      </c>
    </row>
    <row r="679" spans="1:1" x14ac:dyDescent="0.25">
      <c r="A679" s="1" t="s">
        <v>92</v>
      </c>
    </row>
    <row r="680" spans="1:1" x14ac:dyDescent="0.25">
      <c r="A680" s="1" t="s">
        <v>13</v>
      </c>
    </row>
    <row r="681" spans="1:1" x14ac:dyDescent="0.25">
      <c r="A681" s="1" t="s">
        <v>93</v>
      </c>
    </row>
    <row r="682" spans="1:1" x14ac:dyDescent="0.25">
      <c r="A682" s="1" t="s">
        <v>15</v>
      </c>
    </row>
    <row r="683" spans="1:1" x14ac:dyDescent="0.25">
      <c r="A683" s="1" t="s">
        <v>94</v>
      </c>
    </row>
    <row r="684" spans="1:1" x14ac:dyDescent="0.25">
      <c r="A684" s="1" t="s">
        <v>17</v>
      </c>
    </row>
    <row r="685" spans="1:1" x14ac:dyDescent="0.25">
      <c r="A685" s="1" t="s">
        <v>95</v>
      </c>
    </row>
    <row r="686" spans="1:1" x14ac:dyDescent="0.25">
      <c r="A686" s="1" t="s">
        <v>17</v>
      </c>
    </row>
    <row r="687" spans="1:1" x14ac:dyDescent="0.25">
      <c r="A687" s="1" t="s">
        <v>96</v>
      </c>
    </row>
    <row r="688" spans="1:1" x14ac:dyDescent="0.25">
      <c r="A688" s="1" t="s">
        <v>20</v>
      </c>
    </row>
    <row r="689" spans="1:1" x14ac:dyDescent="0.25">
      <c r="A689" s="1" t="s">
        <v>21</v>
      </c>
    </row>
    <row r="706" spans="1:1" x14ac:dyDescent="0.25">
      <c r="A706" s="1" t="s">
        <v>0</v>
      </c>
    </row>
    <row r="707" spans="1:1" x14ac:dyDescent="0.25">
      <c r="A707" s="1" t="s">
        <v>1</v>
      </c>
    </row>
    <row r="709" spans="1:1" x14ac:dyDescent="0.25">
      <c r="A709" s="1" t="s">
        <v>2</v>
      </c>
    </row>
    <row r="711" spans="1:1" x14ac:dyDescent="0.25">
      <c r="A711" s="1" t="s">
        <v>97</v>
      </c>
    </row>
    <row r="714" spans="1:1" x14ac:dyDescent="0.25">
      <c r="A714" s="1" t="s">
        <v>4</v>
      </c>
    </row>
    <row r="715" spans="1:1" x14ac:dyDescent="0.25">
      <c r="A715" s="1" t="s">
        <v>5</v>
      </c>
    </row>
    <row r="716" spans="1:1" x14ac:dyDescent="0.25">
      <c r="A716" s="1" t="s">
        <v>6</v>
      </c>
    </row>
    <row r="717" spans="1:1" x14ac:dyDescent="0.25">
      <c r="A717" s="1" t="s">
        <v>7</v>
      </c>
    </row>
    <row r="718" spans="1:1" x14ac:dyDescent="0.25">
      <c r="A718" s="1" t="s">
        <v>8</v>
      </c>
    </row>
    <row r="719" spans="1:1" x14ac:dyDescent="0.25">
      <c r="A719" s="1" t="s">
        <v>9</v>
      </c>
    </row>
    <row r="720" spans="1:1" x14ac:dyDescent="0.25">
      <c r="A720" s="1" t="s">
        <v>10</v>
      </c>
    </row>
    <row r="721" spans="1:1" x14ac:dyDescent="0.25">
      <c r="A721" s="1" t="s">
        <v>11</v>
      </c>
    </row>
    <row r="722" spans="1:1" x14ac:dyDescent="0.25">
      <c r="A722" s="1" t="s">
        <v>29</v>
      </c>
    </row>
    <row r="723" spans="1:1" x14ac:dyDescent="0.25">
      <c r="A723" s="1" t="s">
        <v>13</v>
      </c>
    </row>
    <row r="724" spans="1:1" x14ac:dyDescent="0.25">
      <c r="A724" s="1" t="s">
        <v>42</v>
      </c>
    </row>
    <row r="725" spans="1:1" x14ac:dyDescent="0.25">
      <c r="A725" s="1" t="s">
        <v>15</v>
      </c>
    </row>
    <row r="726" spans="1:1" x14ac:dyDescent="0.25">
      <c r="A726" s="1" t="s">
        <v>37</v>
      </c>
    </row>
    <row r="727" spans="1:1" x14ac:dyDescent="0.25">
      <c r="A727" s="1" t="s">
        <v>17</v>
      </c>
    </row>
    <row r="728" spans="1:1" x14ac:dyDescent="0.25">
      <c r="A728" s="1" t="s">
        <v>98</v>
      </c>
    </row>
    <row r="729" spans="1:1" x14ac:dyDescent="0.25">
      <c r="A729" s="1" t="s">
        <v>17</v>
      </c>
    </row>
    <row r="730" spans="1:1" x14ac:dyDescent="0.25">
      <c r="A730" s="1" t="s">
        <v>99</v>
      </c>
    </row>
    <row r="731" spans="1:1" x14ac:dyDescent="0.25">
      <c r="A731" s="1" t="s">
        <v>20</v>
      </c>
    </row>
    <row r="732" spans="1:1" x14ac:dyDescent="0.25">
      <c r="A732" s="1" t="s">
        <v>21</v>
      </c>
    </row>
    <row r="749" spans="1:1" x14ac:dyDescent="0.25">
      <c r="A749" s="1" t="s">
        <v>0</v>
      </c>
    </row>
    <row r="750" spans="1:1" x14ac:dyDescent="0.25">
      <c r="A750" s="1" t="s">
        <v>1</v>
      </c>
    </row>
    <row r="752" spans="1:1" x14ac:dyDescent="0.25">
      <c r="A752" s="1" t="s">
        <v>2</v>
      </c>
    </row>
    <row r="754" spans="1:1" x14ac:dyDescent="0.25">
      <c r="A754" s="1" t="s">
        <v>100</v>
      </c>
    </row>
    <row r="757" spans="1:1" x14ac:dyDescent="0.25">
      <c r="A757" s="1" t="s">
        <v>4</v>
      </c>
    </row>
    <row r="758" spans="1:1" x14ac:dyDescent="0.25">
      <c r="A758" s="1" t="s">
        <v>5</v>
      </c>
    </row>
    <row r="759" spans="1:1" x14ac:dyDescent="0.25">
      <c r="A759" s="1" t="s">
        <v>6</v>
      </c>
    </row>
    <row r="760" spans="1:1" x14ac:dyDescent="0.25">
      <c r="A760" s="1" t="s">
        <v>7</v>
      </c>
    </row>
    <row r="761" spans="1:1" x14ac:dyDescent="0.25">
      <c r="A761" s="1" t="s">
        <v>8</v>
      </c>
    </row>
    <row r="762" spans="1:1" x14ac:dyDescent="0.25">
      <c r="A762" s="1" t="s">
        <v>9</v>
      </c>
    </row>
    <row r="763" spans="1:1" x14ac:dyDescent="0.25">
      <c r="A763" s="1" t="s">
        <v>10</v>
      </c>
    </row>
    <row r="764" spans="1:1" x14ac:dyDescent="0.25">
      <c r="A764" s="1" t="s">
        <v>11</v>
      </c>
    </row>
    <row r="765" spans="1:1" x14ac:dyDescent="0.25">
      <c r="A765" s="1" t="s">
        <v>101</v>
      </c>
    </row>
    <row r="766" spans="1:1" x14ac:dyDescent="0.25">
      <c r="A766" s="1" t="s">
        <v>13</v>
      </c>
    </row>
    <row r="767" spans="1:1" x14ac:dyDescent="0.25">
      <c r="A767" s="1" t="s">
        <v>24</v>
      </c>
    </row>
    <row r="768" spans="1:1" x14ac:dyDescent="0.25">
      <c r="A768" s="1" t="s">
        <v>15</v>
      </c>
    </row>
    <row r="769" spans="1:1" x14ac:dyDescent="0.25">
      <c r="A769" s="1" t="s">
        <v>102</v>
      </c>
    </row>
    <row r="770" spans="1:1" x14ac:dyDescent="0.25">
      <c r="A770" s="1" t="s">
        <v>17</v>
      </c>
    </row>
    <row r="771" spans="1:1" x14ac:dyDescent="0.25">
      <c r="A771" s="1" t="s">
        <v>103</v>
      </c>
    </row>
    <row r="772" spans="1:1" x14ac:dyDescent="0.25">
      <c r="A772" s="1" t="s">
        <v>17</v>
      </c>
    </row>
    <row r="773" spans="1:1" x14ac:dyDescent="0.25">
      <c r="A773" s="1" t="s">
        <v>104</v>
      </c>
    </row>
    <row r="774" spans="1:1" x14ac:dyDescent="0.25">
      <c r="A774" s="1" t="s">
        <v>20</v>
      </c>
    </row>
    <row r="775" spans="1:1" x14ac:dyDescent="0.25">
      <c r="A775" s="1" t="s">
        <v>21</v>
      </c>
    </row>
    <row r="792" spans="1:1" x14ac:dyDescent="0.25">
      <c r="A792" s="1" t="s">
        <v>0</v>
      </c>
    </row>
    <row r="793" spans="1:1" x14ac:dyDescent="0.25">
      <c r="A793" s="1" t="s">
        <v>1</v>
      </c>
    </row>
    <row r="795" spans="1:1" x14ac:dyDescent="0.25">
      <c r="A795" s="1" t="s">
        <v>2</v>
      </c>
    </row>
    <row r="797" spans="1:1" x14ac:dyDescent="0.25">
      <c r="A797" s="1" t="s">
        <v>105</v>
      </c>
    </row>
    <row r="800" spans="1:1" x14ac:dyDescent="0.25">
      <c r="A800" s="1" t="s">
        <v>4</v>
      </c>
    </row>
    <row r="801" spans="1:1" x14ac:dyDescent="0.25">
      <c r="A801" s="1" t="s">
        <v>5</v>
      </c>
    </row>
    <row r="802" spans="1:1" x14ac:dyDescent="0.25">
      <c r="A802" s="1" t="s">
        <v>6</v>
      </c>
    </row>
    <row r="803" spans="1:1" x14ac:dyDescent="0.25">
      <c r="A803" s="1" t="s">
        <v>7</v>
      </c>
    </row>
    <row r="804" spans="1:1" x14ac:dyDescent="0.25">
      <c r="A804" s="1" t="s">
        <v>8</v>
      </c>
    </row>
    <row r="805" spans="1:1" x14ac:dyDescent="0.25">
      <c r="A805" s="1" t="s">
        <v>9</v>
      </c>
    </row>
    <row r="806" spans="1:1" x14ac:dyDescent="0.25">
      <c r="A806" s="1" t="s">
        <v>10</v>
      </c>
    </row>
    <row r="807" spans="1:1" x14ac:dyDescent="0.25">
      <c r="A807" s="1" t="s">
        <v>11</v>
      </c>
    </row>
    <row r="808" spans="1:1" x14ac:dyDescent="0.25">
      <c r="A808" s="1" t="s">
        <v>85</v>
      </c>
    </row>
    <row r="809" spans="1:1" x14ac:dyDescent="0.25">
      <c r="A809" s="1" t="s">
        <v>13</v>
      </c>
    </row>
    <row r="810" spans="1:1" x14ac:dyDescent="0.25">
      <c r="A810" s="1" t="s">
        <v>106</v>
      </c>
    </row>
    <row r="811" spans="1:1" x14ac:dyDescent="0.25">
      <c r="A811" s="1" t="s">
        <v>15</v>
      </c>
    </row>
    <row r="812" spans="1:1" x14ac:dyDescent="0.25">
      <c r="A812" s="1" t="s">
        <v>107</v>
      </c>
    </row>
    <row r="813" spans="1:1" x14ac:dyDescent="0.25">
      <c r="A813" s="1" t="s">
        <v>17</v>
      </c>
    </row>
    <row r="814" spans="1:1" x14ac:dyDescent="0.25">
      <c r="A814" s="1" t="s">
        <v>108</v>
      </c>
    </row>
    <row r="815" spans="1:1" x14ac:dyDescent="0.25">
      <c r="A815" s="1" t="s">
        <v>17</v>
      </c>
    </row>
    <row r="816" spans="1:1" x14ac:dyDescent="0.25">
      <c r="A816" s="1" t="s">
        <v>109</v>
      </c>
    </row>
    <row r="817" spans="1:1" x14ac:dyDescent="0.25">
      <c r="A817" s="1" t="s">
        <v>20</v>
      </c>
    </row>
    <row r="818" spans="1:1" x14ac:dyDescent="0.25">
      <c r="A818" s="1" t="s">
        <v>21</v>
      </c>
    </row>
    <row r="835" spans="1:1" x14ac:dyDescent="0.25">
      <c r="A835" s="1" t="s">
        <v>0</v>
      </c>
    </row>
    <row r="836" spans="1:1" x14ac:dyDescent="0.25">
      <c r="A836" s="1" t="s">
        <v>1</v>
      </c>
    </row>
    <row r="838" spans="1:1" x14ac:dyDescent="0.25">
      <c r="A838" s="1" t="s">
        <v>2</v>
      </c>
    </row>
    <row r="840" spans="1:1" x14ac:dyDescent="0.25">
      <c r="A840" s="1" t="s">
        <v>110</v>
      </c>
    </row>
    <row r="843" spans="1:1" x14ac:dyDescent="0.25">
      <c r="A843" s="1" t="s">
        <v>4</v>
      </c>
    </row>
    <row r="844" spans="1:1" x14ac:dyDescent="0.25">
      <c r="A844" s="1" t="s">
        <v>5</v>
      </c>
    </row>
    <row r="845" spans="1:1" x14ac:dyDescent="0.25">
      <c r="A845" s="1" t="s">
        <v>6</v>
      </c>
    </row>
    <row r="846" spans="1:1" x14ac:dyDescent="0.25">
      <c r="A846" s="1" t="s">
        <v>7</v>
      </c>
    </row>
    <row r="847" spans="1:1" x14ac:dyDescent="0.25">
      <c r="A847" s="1" t="s">
        <v>8</v>
      </c>
    </row>
    <row r="848" spans="1:1" x14ac:dyDescent="0.25">
      <c r="A848" s="1" t="s">
        <v>9</v>
      </c>
    </row>
    <row r="849" spans="1:1" x14ac:dyDescent="0.25">
      <c r="A849" s="1" t="s">
        <v>10</v>
      </c>
    </row>
    <row r="850" spans="1:1" x14ac:dyDescent="0.25">
      <c r="A850" s="1" t="s">
        <v>11</v>
      </c>
    </row>
    <row r="851" spans="1:1" x14ac:dyDescent="0.25">
      <c r="A851" s="1" t="s">
        <v>111</v>
      </c>
    </row>
    <row r="852" spans="1:1" x14ac:dyDescent="0.25">
      <c r="A852" s="1" t="s">
        <v>13</v>
      </c>
    </row>
    <row r="853" spans="1:1" x14ac:dyDescent="0.25">
      <c r="A853" s="1" t="s">
        <v>112</v>
      </c>
    </row>
    <row r="854" spans="1:1" x14ac:dyDescent="0.25">
      <c r="A854" s="1" t="s">
        <v>15</v>
      </c>
    </row>
    <row r="855" spans="1:1" x14ac:dyDescent="0.25">
      <c r="A855" s="1" t="s">
        <v>113</v>
      </c>
    </row>
    <row r="856" spans="1:1" x14ac:dyDescent="0.25">
      <c r="A856" s="1" t="s">
        <v>17</v>
      </c>
    </row>
    <row r="857" spans="1:1" x14ac:dyDescent="0.25">
      <c r="A857" s="1" t="s">
        <v>114</v>
      </c>
    </row>
    <row r="858" spans="1:1" x14ac:dyDescent="0.25">
      <c r="A858" s="1" t="s">
        <v>17</v>
      </c>
    </row>
    <row r="859" spans="1:1" x14ac:dyDescent="0.25">
      <c r="A859" s="1" t="s">
        <v>115</v>
      </c>
    </row>
    <row r="860" spans="1:1" x14ac:dyDescent="0.25">
      <c r="A860" s="1" t="s">
        <v>20</v>
      </c>
    </row>
    <row r="861" spans="1:1" x14ac:dyDescent="0.25">
      <c r="A861" s="1" t="s">
        <v>21</v>
      </c>
    </row>
    <row r="878" spans="1:1" x14ac:dyDescent="0.25">
      <c r="A878" s="1" t="s">
        <v>0</v>
      </c>
    </row>
    <row r="879" spans="1:1" x14ac:dyDescent="0.25">
      <c r="A879" s="1" t="s">
        <v>1</v>
      </c>
    </row>
    <row r="881" spans="1:1" x14ac:dyDescent="0.25">
      <c r="A881" s="1" t="s">
        <v>2</v>
      </c>
    </row>
    <row r="883" spans="1:1" x14ac:dyDescent="0.25">
      <c r="A883" s="1" t="s">
        <v>116</v>
      </c>
    </row>
    <row r="886" spans="1:1" x14ac:dyDescent="0.25">
      <c r="A886" s="1" t="s">
        <v>4</v>
      </c>
    </row>
    <row r="887" spans="1:1" x14ac:dyDescent="0.25">
      <c r="A887" s="1" t="s">
        <v>5</v>
      </c>
    </row>
    <row r="888" spans="1:1" x14ac:dyDescent="0.25">
      <c r="A888" s="1" t="s">
        <v>6</v>
      </c>
    </row>
    <row r="889" spans="1:1" x14ac:dyDescent="0.25">
      <c r="A889" s="1" t="s">
        <v>7</v>
      </c>
    </row>
    <row r="890" spans="1:1" x14ac:dyDescent="0.25">
      <c r="A890" s="1" t="s">
        <v>8</v>
      </c>
    </row>
    <row r="891" spans="1:1" x14ac:dyDescent="0.25">
      <c r="A891" s="1" t="s">
        <v>9</v>
      </c>
    </row>
    <row r="892" spans="1:1" x14ac:dyDescent="0.25">
      <c r="A892" s="1" t="s">
        <v>10</v>
      </c>
    </row>
    <row r="893" spans="1:1" x14ac:dyDescent="0.25">
      <c r="A893" s="1" t="s">
        <v>11</v>
      </c>
    </row>
    <row r="894" spans="1:1" x14ac:dyDescent="0.25">
      <c r="A894" s="1" t="s">
        <v>29</v>
      </c>
    </row>
    <row r="895" spans="1:1" x14ac:dyDescent="0.25">
      <c r="A895" s="1" t="s">
        <v>13</v>
      </c>
    </row>
    <row r="896" spans="1:1" x14ac:dyDescent="0.25">
      <c r="A896" s="1" t="s">
        <v>30</v>
      </c>
    </row>
    <row r="897" spans="1:1" x14ac:dyDescent="0.25">
      <c r="A897" s="1" t="s">
        <v>15</v>
      </c>
    </row>
    <row r="898" spans="1:1" x14ac:dyDescent="0.25">
      <c r="A898" s="1" t="s">
        <v>37</v>
      </c>
    </row>
    <row r="899" spans="1:1" x14ac:dyDescent="0.25">
      <c r="A899" s="1" t="s">
        <v>17</v>
      </c>
    </row>
    <row r="900" spans="1:1" x14ac:dyDescent="0.25">
      <c r="A900" s="1" t="s">
        <v>117</v>
      </c>
    </row>
    <row r="901" spans="1:1" x14ac:dyDescent="0.25">
      <c r="A901" s="1" t="s">
        <v>17</v>
      </c>
    </row>
    <row r="902" spans="1:1" x14ac:dyDescent="0.25">
      <c r="A902" s="1" t="s">
        <v>118</v>
      </c>
    </row>
    <row r="903" spans="1:1" x14ac:dyDescent="0.25">
      <c r="A903" s="1" t="s">
        <v>20</v>
      </c>
    </row>
    <row r="904" spans="1:1" x14ac:dyDescent="0.25">
      <c r="A904" s="1" t="s">
        <v>21</v>
      </c>
    </row>
    <row r="921" spans="1:1" x14ac:dyDescent="0.25">
      <c r="A921" s="1" t="s">
        <v>0</v>
      </c>
    </row>
    <row r="922" spans="1:1" x14ac:dyDescent="0.25">
      <c r="A922" s="1" t="s">
        <v>1</v>
      </c>
    </row>
    <row r="924" spans="1:1" x14ac:dyDescent="0.25">
      <c r="A924" s="1" t="s">
        <v>2</v>
      </c>
    </row>
    <row r="926" spans="1:1" x14ac:dyDescent="0.25">
      <c r="A926" s="1" t="s">
        <v>119</v>
      </c>
    </row>
    <row r="929" spans="1:1" x14ac:dyDescent="0.25">
      <c r="A929" s="1" t="s">
        <v>4</v>
      </c>
    </row>
    <row r="930" spans="1:1" x14ac:dyDescent="0.25">
      <c r="A930" s="1" t="s">
        <v>5</v>
      </c>
    </row>
    <row r="931" spans="1:1" x14ac:dyDescent="0.25">
      <c r="A931" s="1" t="s">
        <v>6</v>
      </c>
    </row>
    <row r="932" spans="1:1" x14ac:dyDescent="0.25">
      <c r="A932" s="1" t="s">
        <v>7</v>
      </c>
    </row>
    <row r="933" spans="1:1" x14ac:dyDescent="0.25">
      <c r="A933" s="1" t="s">
        <v>8</v>
      </c>
    </row>
    <row r="934" spans="1:1" x14ac:dyDescent="0.25">
      <c r="A934" s="1" t="s">
        <v>9</v>
      </c>
    </row>
    <row r="935" spans="1:1" x14ac:dyDescent="0.25">
      <c r="A935" s="1" t="s">
        <v>10</v>
      </c>
    </row>
    <row r="936" spans="1:1" x14ac:dyDescent="0.25">
      <c r="A936" s="1" t="s">
        <v>11</v>
      </c>
    </row>
    <row r="937" spans="1:1" x14ac:dyDescent="0.25">
      <c r="A937" s="1" t="s">
        <v>56</v>
      </c>
    </row>
    <row r="938" spans="1:1" x14ac:dyDescent="0.25">
      <c r="A938" s="1" t="s">
        <v>13</v>
      </c>
    </row>
    <row r="939" spans="1:1" x14ac:dyDescent="0.25">
      <c r="A939" s="1" t="s">
        <v>30</v>
      </c>
    </row>
    <row r="940" spans="1:1" x14ac:dyDescent="0.25">
      <c r="A940" s="1" t="s">
        <v>15</v>
      </c>
    </row>
    <row r="941" spans="1:1" x14ac:dyDescent="0.25">
      <c r="A941" s="1" t="s">
        <v>37</v>
      </c>
    </row>
    <row r="942" spans="1:1" x14ac:dyDescent="0.25">
      <c r="A942" s="1" t="s">
        <v>17</v>
      </c>
    </row>
    <row r="943" spans="1:1" x14ac:dyDescent="0.25">
      <c r="A943" s="1" t="s">
        <v>120</v>
      </c>
    </row>
    <row r="944" spans="1:1" x14ac:dyDescent="0.25">
      <c r="A944" s="1" t="s">
        <v>17</v>
      </c>
    </row>
    <row r="945" spans="1:1" x14ac:dyDescent="0.25">
      <c r="A945" s="1" t="s">
        <v>121</v>
      </c>
    </row>
    <row r="946" spans="1:1" x14ac:dyDescent="0.25">
      <c r="A946" s="1" t="s">
        <v>20</v>
      </c>
    </row>
    <row r="947" spans="1:1" x14ac:dyDescent="0.25">
      <c r="A947" s="1" t="s">
        <v>21</v>
      </c>
    </row>
    <row r="964" spans="1:1" x14ac:dyDescent="0.25">
      <c r="A964" s="1" t="s">
        <v>0</v>
      </c>
    </row>
    <row r="965" spans="1:1" x14ac:dyDescent="0.25">
      <c r="A965" s="1" t="s">
        <v>1</v>
      </c>
    </row>
    <row r="967" spans="1:1" x14ac:dyDescent="0.25">
      <c r="A967" s="1" t="s">
        <v>2</v>
      </c>
    </row>
    <row r="969" spans="1:1" x14ac:dyDescent="0.25">
      <c r="A969" s="1" t="s">
        <v>122</v>
      </c>
    </row>
    <row r="972" spans="1:1" x14ac:dyDescent="0.25">
      <c r="A972" s="1" t="s">
        <v>4</v>
      </c>
    </row>
    <row r="973" spans="1:1" x14ac:dyDescent="0.25">
      <c r="A973" s="1" t="s">
        <v>5</v>
      </c>
    </row>
    <row r="974" spans="1:1" x14ac:dyDescent="0.25">
      <c r="A974" s="1" t="s">
        <v>6</v>
      </c>
    </row>
    <row r="975" spans="1:1" x14ac:dyDescent="0.25">
      <c r="A975" s="1" t="s">
        <v>7</v>
      </c>
    </row>
    <row r="976" spans="1:1" x14ac:dyDescent="0.25">
      <c r="A976" s="1" t="s">
        <v>8</v>
      </c>
    </row>
    <row r="977" spans="1:1" x14ac:dyDescent="0.25">
      <c r="A977" s="1" t="s">
        <v>9</v>
      </c>
    </row>
    <row r="978" spans="1:1" x14ac:dyDescent="0.25">
      <c r="A978" s="1" t="s">
        <v>10</v>
      </c>
    </row>
    <row r="979" spans="1:1" x14ac:dyDescent="0.25">
      <c r="A979" s="1" t="s">
        <v>11</v>
      </c>
    </row>
    <row r="980" spans="1:1" x14ac:dyDescent="0.25">
      <c r="A980" s="1" t="s">
        <v>123</v>
      </c>
    </row>
    <row r="981" spans="1:1" x14ac:dyDescent="0.25">
      <c r="A981" s="1" t="s">
        <v>13</v>
      </c>
    </row>
    <row r="982" spans="1:1" x14ac:dyDescent="0.25">
      <c r="A982" s="1" t="s">
        <v>124</v>
      </c>
    </row>
    <row r="983" spans="1:1" x14ac:dyDescent="0.25">
      <c r="A983" s="1" t="s">
        <v>15</v>
      </c>
    </row>
    <row r="984" spans="1:1" x14ac:dyDescent="0.25">
      <c r="A984" s="1" t="s">
        <v>125</v>
      </c>
    </row>
    <row r="985" spans="1:1" x14ac:dyDescent="0.25">
      <c r="A985" s="1" t="s">
        <v>17</v>
      </c>
    </row>
    <row r="986" spans="1:1" x14ac:dyDescent="0.25">
      <c r="A986" s="1" t="s">
        <v>126</v>
      </c>
    </row>
    <row r="987" spans="1:1" x14ac:dyDescent="0.25">
      <c r="A987" s="1" t="s">
        <v>17</v>
      </c>
    </row>
    <row r="988" spans="1:1" x14ac:dyDescent="0.25">
      <c r="A988" s="1" t="s">
        <v>127</v>
      </c>
    </row>
    <row r="989" spans="1:1" x14ac:dyDescent="0.25">
      <c r="A989" s="1" t="s">
        <v>20</v>
      </c>
    </row>
    <row r="990" spans="1:1" x14ac:dyDescent="0.25">
      <c r="A990" s="1" t="s">
        <v>21</v>
      </c>
    </row>
    <row r="1007" spans="1:1" x14ac:dyDescent="0.25">
      <c r="A1007" s="1" t="s">
        <v>0</v>
      </c>
    </row>
    <row r="1008" spans="1:1" x14ac:dyDescent="0.25">
      <c r="A1008" s="1" t="s">
        <v>1</v>
      </c>
    </row>
    <row r="1010" spans="1:1" x14ac:dyDescent="0.25">
      <c r="A1010" s="1" t="s">
        <v>2</v>
      </c>
    </row>
    <row r="1012" spans="1:1" x14ac:dyDescent="0.25">
      <c r="A1012" s="1" t="s">
        <v>128</v>
      </c>
    </row>
    <row r="1015" spans="1:1" x14ac:dyDescent="0.25">
      <c r="A1015" s="1" t="s">
        <v>4</v>
      </c>
    </row>
    <row r="1016" spans="1:1" x14ac:dyDescent="0.25">
      <c r="A1016" s="1" t="s">
        <v>5</v>
      </c>
    </row>
    <row r="1017" spans="1:1" x14ac:dyDescent="0.25">
      <c r="A1017" s="1" t="s">
        <v>6</v>
      </c>
    </row>
    <row r="1018" spans="1:1" x14ac:dyDescent="0.25">
      <c r="A1018" s="1" t="s">
        <v>7</v>
      </c>
    </row>
    <row r="1019" spans="1:1" x14ac:dyDescent="0.25">
      <c r="A1019" s="1" t="s">
        <v>8</v>
      </c>
    </row>
    <row r="1020" spans="1:1" x14ac:dyDescent="0.25">
      <c r="A1020" s="1" t="s">
        <v>9</v>
      </c>
    </row>
    <row r="1021" spans="1:1" x14ac:dyDescent="0.25">
      <c r="A1021" s="1" t="s">
        <v>10</v>
      </c>
    </row>
    <row r="1022" spans="1:1" x14ac:dyDescent="0.25">
      <c r="A1022" s="1" t="s">
        <v>11</v>
      </c>
    </row>
    <row r="1023" spans="1:1" x14ac:dyDescent="0.25">
      <c r="A1023" s="1" t="s">
        <v>129</v>
      </c>
    </row>
    <row r="1024" spans="1:1" x14ac:dyDescent="0.25">
      <c r="A1024" s="1" t="s">
        <v>13</v>
      </c>
    </row>
    <row r="1025" spans="1:1" x14ac:dyDescent="0.25">
      <c r="A1025" s="1" t="s">
        <v>14</v>
      </c>
    </row>
    <row r="1026" spans="1:1" x14ac:dyDescent="0.25">
      <c r="A1026" s="1" t="s">
        <v>15</v>
      </c>
    </row>
    <row r="1027" spans="1:1" x14ac:dyDescent="0.25">
      <c r="A1027" s="1" t="s">
        <v>37</v>
      </c>
    </row>
    <row r="1028" spans="1:1" x14ac:dyDescent="0.25">
      <c r="A1028" s="1" t="s">
        <v>17</v>
      </c>
    </row>
    <row r="1029" spans="1:1" x14ac:dyDescent="0.25">
      <c r="A1029" s="1" t="s">
        <v>130</v>
      </c>
    </row>
    <row r="1030" spans="1:1" x14ac:dyDescent="0.25">
      <c r="A1030" s="1" t="s">
        <v>17</v>
      </c>
    </row>
    <row r="1031" spans="1:1" x14ac:dyDescent="0.25">
      <c r="A1031" s="1" t="s">
        <v>131</v>
      </c>
    </row>
    <row r="1032" spans="1:1" x14ac:dyDescent="0.25">
      <c r="A1032" s="1" t="s">
        <v>20</v>
      </c>
    </row>
    <row r="1033" spans="1:1" x14ac:dyDescent="0.25">
      <c r="A1033" s="1" t="s">
        <v>21</v>
      </c>
    </row>
    <row r="1050" spans="1:1" x14ac:dyDescent="0.25">
      <c r="A1050" s="1" t="s">
        <v>0</v>
      </c>
    </row>
    <row r="1051" spans="1:1" x14ac:dyDescent="0.25">
      <c r="A1051" s="1" t="s">
        <v>1</v>
      </c>
    </row>
    <row r="1053" spans="1:1" x14ac:dyDescent="0.25">
      <c r="A1053" s="1" t="s">
        <v>2</v>
      </c>
    </row>
    <row r="1055" spans="1:1" x14ac:dyDescent="0.25">
      <c r="A1055" s="1" t="s">
        <v>132</v>
      </c>
    </row>
    <row r="1058" spans="1:1" x14ac:dyDescent="0.25">
      <c r="A1058" s="1" t="s">
        <v>4</v>
      </c>
    </row>
    <row r="1059" spans="1:1" x14ac:dyDescent="0.25">
      <c r="A1059" s="1" t="s">
        <v>5</v>
      </c>
    </row>
    <row r="1060" spans="1:1" x14ac:dyDescent="0.25">
      <c r="A1060" s="1" t="s">
        <v>6</v>
      </c>
    </row>
    <row r="1061" spans="1:1" x14ac:dyDescent="0.25">
      <c r="A1061" s="1" t="s">
        <v>7</v>
      </c>
    </row>
    <row r="1062" spans="1:1" x14ac:dyDescent="0.25">
      <c r="A1062" s="1" t="s">
        <v>8</v>
      </c>
    </row>
    <row r="1063" spans="1:1" x14ac:dyDescent="0.25">
      <c r="A1063" s="1" t="s">
        <v>9</v>
      </c>
    </row>
    <row r="1064" spans="1:1" x14ac:dyDescent="0.25">
      <c r="A1064" s="1" t="s">
        <v>10</v>
      </c>
    </row>
    <row r="1065" spans="1:1" x14ac:dyDescent="0.25">
      <c r="A1065" s="1" t="s">
        <v>11</v>
      </c>
    </row>
    <row r="1066" spans="1:1" x14ac:dyDescent="0.25">
      <c r="A1066" s="1" t="s">
        <v>29</v>
      </c>
    </row>
    <row r="1067" spans="1:1" x14ac:dyDescent="0.25">
      <c r="A1067" s="1" t="s">
        <v>13</v>
      </c>
    </row>
    <row r="1068" spans="1:1" x14ac:dyDescent="0.25">
      <c r="A1068" s="1" t="s">
        <v>42</v>
      </c>
    </row>
    <row r="1069" spans="1:1" x14ac:dyDescent="0.25">
      <c r="A1069" s="1" t="s">
        <v>15</v>
      </c>
    </row>
    <row r="1070" spans="1:1" x14ac:dyDescent="0.25">
      <c r="A1070" s="1" t="s">
        <v>37</v>
      </c>
    </row>
    <row r="1071" spans="1:1" x14ac:dyDescent="0.25">
      <c r="A1071" s="1" t="s">
        <v>17</v>
      </c>
    </row>
    <row r="1072" spans="1:1" x14ac:dyDescent="0.25">
      <c r="A1072" s="1" t="s">
        <v>133</v>
      </c>
    </row>
    <row r="1073" spans="1:1" x14ac:dyDescent="0.25">
      <c r="A1073" s="1" t="s">
        <v>17</v>
      </c>
    </row>
    <row r="1074" spans="1:1" x14ac:dyDescent="0.25">
      <c r="A1074" s="1" t="s">
        <v>134</v>
      </c>
    </row>
    <row r="1075" spans="1:1" x14ac:dyDescent="0.25">
      <c r="A1075" s="1" t="s">
        <v>20</v>
      </c>
    </row>
    <row r="1076" spans="1:1" x14ac:dyDescent="0.25">
      <c r="A1076" s="1" t="s">
        <v>21</v>
      </c>
    </row>
    <row r="1093" spans="1:1" x14ac:dyDescent="0.25">
      <c r="A1093" s="1" t="s">
        <v>0</v>
      </c>
    </row>
    <row r="1094" spans="1:1" x14ac:dyDescent="0.25">
      <c r="A1094" s="1" t="s">
        <v>1</v>
      </c>
    </row>
    <row r="1096" spans="1:1" x14ac:dyDescent="0.25">
      <c r="A1096" s="1" t="s">
        <v>2</v>
      </c>
    </row>
    <row r="1098" spans="1:1" x14ac:dyDescent="0.25">
      <c r="A1098" s="1" t="s">
        <v>135</v>
      </c>
    </row>
    <row r="1101" spans="1:1" x14ac:dyDescent="0.25">
      <c r="A1101" s="1" t="s">
        <v>4</v>
      </c>
    </row>
    <row r="1102" spans="1:1" x14ac:dyDescent="0.25">
      <c r="A1102" s="1" t="s">
        <v>5</v>
      </c>
    </row>
    <row r="1103" spans="1:1" x14ac:dyDescent="0.25">
      <c r="A1103" s="1" t="s">
        <v>6</v>
      </c>
    </row>
    <row r="1104" spans="1:1" x14ac:dyDescent="0.25">
      <c r="A1104" s="1" t="s">
        <v>7</v>
      </c>
    </row>
    <row r="1105" spans="1:1" x14ac:dyDescent="0.25">
      <c r="A1105" s="1" t="s">
        <v>8</v>
      </c>
    </row>
    <row r="1106" spans="1:1" x14ac:dyDescent="0.25">
      <c r="A1106" s="1" t="s">
        <v>9</v>
      </c>
    </row>
    <row r="1107" spans="1:1" x14ac:dyDescent="0.25">
      <c r="A1107" s="1" t="s">
        <v>10</v>
      </c>
    </row>
    <row r="1108" spans="1:1" x14ac:dyDescent="0.25">
      <c r="A1108" s="1" t="s">
        <v>11</v>
      </c>
    </row>
    <row r="1109" spans="1:1" x14ac:dyDescent="0.25">
      <c r="A1109" s="1" t="s">
        <v>136</v>
      </c>
    </row>
    <row r="1110" spans="1:1" x14ac:dyDescent="0.25">
      <c r="A1110" s="1" t="s">
        <v>13</v>
      </c>
    </row>
    <row r="1111" spans="1:1" x14ac:dyDescent="0.25">
      <c r="A1111" s="1" t="s">
        <v>137</v>
      </c>
    </row>
    <row r="1112" spans="1:1" x14ac:dyDescent="0.25">
      <c r="A1112" s="1" t="s">
        <v>15</v>
      </c>
    </row>
    <row r="1113" spans="1:1" x14ac:dyDescent="0.25">
      <c r="A1113" s="1" t="s">
        <v>138</v>
      </c>
    </row>
    <row r="1114" spans="1:1" x14ac:dyDescent="0.25">
      <c r="A1114" s="1" t="s">
        <v>17</v>
      </c>
    </row>
    <row r="1115" spans="1:1" x14ac:dyDescent="0.25">
      <c r="A1115" s="1" t="s">
        <v>139</v>
      </c>
    </row>
    <row r="1116" spans="1:1" x14ac:dyDescent="0.25">
      <c r="A1116" s="1" t="s">
        <v>17</v>
      </c>
    </row>
    <row r="1117" spans="1:1" x14ac:dyDescent="0.25">
      <c r="A1117" s="1" t="s">
        <v>140</v>
      </c>
    </row>
    <row r="1118" spans="1:1" x14ac:dyDescent="0.25">
      <c r="A1118" s="1" t="s">
        <v>20</v>
      </c>
    </row>
    <row r="1119" spans="1:1" x14ac:dyDescent="0.25">
      <c r="A1119" s="1" t="s">
        <v>21</v>
      </c>
    </row>
    <row r="1136" spans="1:1" x14ac:dyDescent="0.25">
      <c r="A1136" s="1" t="s">
        <v>0</v>
      </c>
    </row>
    <row r="1137" spans="1:1" x14ac:dyDescent="0.25">
      <c r="A1137" s="1" t="s">
        <v>1</v>
      </c>
    </row>
    <row r="1139" spans="1:1" x14ac:dyDescent="0.25">
      <c r="A1139" s="1" t="s">
        <v>2</v>
      </c>
    </row>
    <row r="1141" spans="1:1" x14ac:dyDescent="0.25">
      <c r="A1141" s="1" t="s">
        <v>141</v>
      </c>
    </row>
    <row r="1144" spans="1:1" x14ac:dyDescent="0.25">
      <c r="A1144" s="1" t="s">
        <v>4</v>
      </c>
    </row>
    <row r="1145" spans="1:1" x14ac:dyDescent="0.25">
      <c r="A1145" s="1" t="s">
        <v>5</v>
      </c>
    </row>
    <row r="1146" spans="1:1" x14ac:dyDescent="0.25">
      <c r="A1146" s="1" t="s">
        <v>6</v>
      </c>
    </row>
    <row r="1147" spans="1:1" x14ac:dyDescent="0.25">
      <c r="A1147" s="1" t="s">
        <v>7</v>
      </c>
    </row>
    <row r="1148" spans="1:1" x14ac:dyDescent="0.25">
      <c r="A1148" s="1" t="s">
        <v>8</v>
      </c>
    </row>
    <row r="1149" spans="1:1" x14ac:dyDescent="0.25">
      <c r="A1149" s="1" t="s">
        <v>9</v>
      </c>
    </row>
    <row r="1150" spans="1:1" x14ac:dyDescent="0.25">
      <c r="A1150" s="1" t="s">
        <v>10</v>
      </c>
    </row>
    <row r="1151" spans="1:1" x14ac:dyDescent="0.25">
      <c r="A1151" s="1" t="s">
        <v>11</v>
      </c>
    </row>
    <row r="1152" spans="1:1" x14ac:dyDescent="0.25">
      <c r="A1152" s="1" t="s">
        <v>142</v>
      </c>
    </row>
    <row r="1153" spans="1:1" x14ac:dyDescent="0.25">
      <c r="A1153" s="1" t="s">
        <v>13</v>
      </c>
    </row>
    <row r="1154" spans="1:1" x14ac:dyDescent="0.25">
      <c r="A1154" s="1" t="s">
        <v>143</v>
      </c>
    </row>
    <row r="1155" spans="1:1" x14ac:dyDescent="0.25">
      <c r="A1155" s="1" t="s">
        <v>15</v>
      </c>
    </row>
    <row r="1156" spans="1:1" x14ac:dyDescent="0.25">
      <c r="A1156" s="1" t="s">
        <v>144</v>
      </c>
    </row>
    <row r="1157" spans="1:1" x14ac:dyDescent="0.25">
      <c r="A1157" s="1" t="s">
        <v>17</v>
      </c>
    </row>
    <row r="1158" spans="1:1" x14ac:dyDescent="0.25">
      <c r="A1158" s="1" t="s">
        <v>145</v>
      </c>
    </row>
    <row r="1159" spans="1:1" x14ac:dyDescent="0.25">
      <c r="A1159" s="1" t="s">
        <v>17</v>
      </c>
    </row>
    <row r="1160" spans="1:1" x14ac:dyDescent="0.25">
      <c r="A1160" s="1" t="s">
        <v>146</v>
      </c>
    </row>
    <row r="1161" spans="1:1" x14ac:dyDescent="0.25">
      <c r="A1161" s="1" t="s">
        <v>20</v>
      </c>
    </row>
    <row r="1162" spans="1:1" x14ac:dyDescent="0.25">
      <c r="A1162" s="1" t="s">
        <v>21</v>
      </c>
    </row>
    <row r="1179" spans="1:1" x14ac:dyDescent="0.25">
      <c r="A1179" s="1" t="s">
        <v>0</v>
      </c>
    </row>
    <row r="1180" spans="1:1" x14ac:dyDescent="0.25">
      <c r="A1180" s="1" t="s">
        <v>1</v>
      </c>
    </row>
    <row r="1182" spans="1:1" x14ac:dyDescent="0.25">
      <c r="A1182" s="1" t="s">
        <v>2</v>
      </c>
    </row>
    <row r="1184" spans="1:1" x14ac:dyDescent="0.25">
      <c r="A1184" s="1" t="s">
        <v>147</v>
      </c>
    </row>
    <row r="1187" spans="1:1" x14ac:dyDescent="0.25">
      <c r="A1187" s="1" t="s">
        <v>4</v>
      </c>
    </row>
    <row r="1188" spans="1:1" x14ac:dyDescent="0.25">
      <c r="A1188" s="1" t="s">
        <v>5</v>
      </c>
    </row>
    <row r="1189" spans="1:1" x14ac:dyDescent="0.25">
      <c r="A1189" s="1" t="s">
        <v>6</v>
      </c>
    </row>
    <row r="1190" spans="1:1" x14ac:dyDescent="0.25">
      <c r="A1190" s="1" t="s">
        <v>7</v>
      </c>
    </row>
    <row r="1191" spans="1:1" x14ac:dyDescent="0.25">
      <c r="A1191" s="1" t="s">
        <v>8</v>
      </c>
    </row>
    <row r="1192" spans="1:1" x14ac:dyDescent="0.25">
      <c r="A1192" s="1" t="s">
        <v>9</v>
      </c>
    </row>
    <row r="1193" spans="1:1" x14ac:dyDescent="0.25">
      <c r="A1193" s="1" t="s">
        <v>10</v>
      </c>
    </row>
    <row r="1194" spans="1:1" x14ac:dyDescent="0.25">
      <c r="A1194" s="1" t="s">
        <v>11</v>
      </c>
    </row>
    <row r="1195" spans="1:1" x14ac:dyDescent="0.25">
      <c r="A1195" s="1" t="s">
        <v>29</v>
      </c>
    </row>
    <row r="1196" spans="1:1" x14ac:dyDescent="0.25">
      <c r="A1196" s="1" t="s">
        <v>13</v>
      </c>
    </row>
    <row r="1197" spans="1:1" x14ac:dyDescent="0.25">
      <c r="A1197" s="1" t="s">
        <v>42</v>
      </c>
    </row>
    <row r="1198" spans="1:1" x14ac:dyDescent="0.25">
      <c r="A1198" s="1" t="s">
        <v>15</v>
      </c>
    </row>
    <row r="1199" spans="1:1" x14ac:dyDescent="0.25">
      <c r="A1199" s="1" t="s">
        <v>37</v>
      </c>
    </row>
    <row r="1200" spans="1:1" x14ac:dyDescent="0.25">
      <c r="A1200" s="1" t="s">
        <v>17</v>
      </c>
    </row>
    <row r="1201" spans="1:1" x14ac:dyDescent="0.25">
      <c r="A1201" s="1" t="s">
        <v>148</v>
      </c>
    </row>
    <row r="1202" spans="1:1" x14ac:dyDescent="0.25">
      <c r="A1202" s="1" t="s">
        <v>17</v>
      </c>
    </row>
    <row r="1203" spans="1:1" x14ac:dyDescent="0.25">
      <c r="A1203" s="1" t="s">
        <v>149</v>
      </c>
    </row>
    <row r="1204" spans="1:1" x14ac:dyDescent="0.25">
      <c r="A1204" s="1" t="s">
        <v>20</v>
      </c>
    </row>
    <row r="1205" spans="1:1" x14ac:dyDescent="0.25">
      <c r="A1205" s="1" t="s">
        <v>21</v>
      </c>
    </row>
    <row r="1222" spans="1:1" x14ac:dyDescent="0.25">
      <c r="A1222" s="1" t="s">
        <v>0</v>
      </c>
    </row>
    <row r="1223" spans="1:1" x14ac:dyDescent="0.25">
      <c r="A1223" s="1" t="s">
        <v>1</v>
      </c>
    </row>
    <row r="1225" spans="1:1" x14ac:dyDescent="0.25">
      <c r="A1225" s="1" t="s">
        <v>2</v>
      </c>
    </row>
    <row r="1227" spans="1:1" x14ac:dyDescent="0.25">
      <c r="A1227" s="1" t="s">
        <v>150</v>
      </c>
    </row>
    <row r="1230" spans="1:1" x14ac:dyDescent="0.25">
      <c r="A1230" s="1" t="s">
        <v>4</v>
      </c>
    </row>
    <row r="1231" spans="1:1" x14ac:dyDescent="0.25">
      <c r="A1231" s="1" t="s">
        <v>5</v>
      </c>
    </row>
    <row r="1232" spans="1:1" x14ac:dyDescent="0.25">
      <c r="A1232" s="1" t="s">
        <v>6</v>
      </c>
    </row>
    <row r="1233" spans="1:1" x14ac:dyDescent="0.25">
      <c r="A1233" s="1" t="s">
        <v>7</v>
      </c>
    </row>
    <row r="1234" spans="1:1" x14ac:dyDescent="0.25">
      <c r="A1234" s="1" t="s">
        <v>8</v>
      </c>
    </row>
    <row r="1235" spans="1:1" x14ac:dyDescent="0.25">
      <c r="A1235" s="1" t="s">
        <v>9</v>
      </c>
    </row>
    <row r="1236" spans="1:1" x14ac:dyDescent="0.25">
      <c r="A1236" s="1" t="s">
        <v>10</v>
      </c>
    </row>
    <row r="1237" spans="1:1" x14ac:dyDescent="0.25">
      <c r="A1237" s="1" t="s">
        <v>11</v>
      </c>
    </row>
    <row r="1238" spans="1:1" x14ac:dyDescent="0.25">
      <c r="A1238" s="1" t="s">
        <v>151</v>
      </c>
    </row>
    <row r="1239" spans="1:1" x14ac:dyDescent="0.25">
      <c r="A1239" s="1" t="s">
        <v>13</v>
      </c>
    </row>
    <row r="1240" spans="1:1" x14ac:dyDescent="0.25">
      <c r="A1240" s="1" t="s">
        <v>152</v>
      </c>
    </row>
    <row r="1241" spans="1:1" x14ac:dyDescent="0.25">
      <c r="A1241" s="1" t="s">
        <v>15</v>
      </c>
    </row>
    <row r="1242" spans="1:1" x14ac:dyDescent="0.25">
      <c r="A1242" s="1" t="s">
        <v>153</v>
      </c>
    </row>
    <row r="1243" spans="1:1" x14ac:dyDescent="0.25">
      <c r="A1243" s="1" t="s">
        <v>17</v>
      </c>
    </row>
    <row r="1244" spans="1:1" x14ac:dyDescent="0.25">
      <c r="A1244" s="1" t="s">
        <v>154</v>
      </c>
    </row>
    <row r="1245" spans="1:1" x14ac:dyDescent="0.25">
      <c r="A1245" s="1" t="s">
        <v>17</v>
      </c>
    </row>
    <row r="1246" spans="1:1" x14ac:dyDescent="0.25">
      <c r="A1246" s="1" t="s">
        <v>155</v>
      </c>
    </row>
    <row r="1247" spans="1:1" x14ac:dyDescent="0.25">
      <c r="A1247" s="1" t="s">
        <v>20</v>
      </c>
    </row>
    <row r="1248" spans="1:1" x14ac:dyDescent="0.25">
      <c r="A1248" s="1" t="s">
        <v>21</v>
      </c>
    </row>
    <row r="1265" spans="1:1" x14ac:dyDescent="0.25">
      <c r="A1265" s="1" t="s">
        <v>0</v>
      </c>
    </row>
    <row r="1266" spans="1:1" x14ac:dyDescent="0.25">
      <c r="A1266" s="1" t="s">
        <v>1</v>
      </c>
    </row>
    <row r="1268" spans="1:1" x14ac:dyDescent="0.25">
      <c r="A1268" s="1" t="s">
        <v>2</v>
      </c>
    </row>
    <row r="1270" spans="1:1" x14ac:dyDescent="0.25">
      <c r="A1270" s="1" t="s">
        <v>156</v>
      </c>
    </row>
    <row r="1273" spans="1:1" x14ac:dyDescent="0.25">
      <c r="A1273" s="1" t="s">
        <v>4</v>
      </c>
    </row>
    <row r="1274" spans="1:1" x14ac:dyDescent="0.25">
      <c r="A1274" s="1" t="s">
        <v>5</v>
      </c>
    </row>
    <row r="1275" spans="1:1" x14ac:dyDescent="0.25">
      <c r="A1275" s="1" t="s">
        <v>6</v>
      </c>
    </row>
    <row r="1276" spans="1:1" x14ac:dyDescent="0.25">
      <c r="A1276" s="1" t="s">
        <v>7</v>
      </c>
    </row>
    <row r="1277" spans="1:1" x14ac:dyDescent="0.25">
      <c r="A1277" s="1" t="s">
        <v>8</v>
      </c>
    </row>
    <row r="1278" spans="1:1" x14ac:dyDescent="0.25">
      <c r="A1278" s="1" t="s">
        <v>9</v>
      </c>
    </row>
    <row r="1279" spans="1:1" x14ac:dyDescent="0.25">
      <c r="A1279" s="1" t="s">
        <v>10</v>
      </c>
    </row>
    <row r="1280" spans="1:1" x14ac:dyDescent="0.25">
      <c r="A1280" s="1" t="s">
        <v>11</v>
      </c>
    </row>
    <row r="1281" spans="1:1" x14ac:dyDescent="0.25">
      <c r="A1281" s="1" t="s">
        <v>157</v>
      </c>
    </row>
    <row r="1282" spans="1:1" x14ac:dyDescent="0.25">
      <c r="A1282" s="1" t="s">
        <v>13</v>
      </c>
    </row>
    <row r="1283" spans="1:1" x14ac:dyDescent="0.25">
      <c r="A1283" s="1" t="s">
        <v>36</v>
      </c>
    </row>
    <row r="1284" spans="1:1" x14ac:dyDescent="0.25">
      <c r="A1284" s="1" t="s">
        <v>15</v>
      </c>
    </row>
    <row r="1285" spans="1:1" x14ac:dyDescent="0.25">
      <c r="A1285" s="1" t="s">
        <v>158</v>
      </c>
    </row>
    <row r="1286" spans="1:1" x14ac:dyDescent="0.25">
      <c r="A1286" s="1" t="s">
        <v>17</v>
      </c>
    </row>
    <row r="1287" spans="1:1" x14ac:dyDescent="0.25">
      <c r="A1287" s="1" t="s">
        <v>159</v>
      </c>
    </row>
    <row r="1288" spans="1:1" x14ac:dyDescent="0.25">
      <c r="A1288" s="1" t="s">
        <v>17</v>
      </c>
    </row>
    <row r="1289" spans="1:1" x14ac:dyDescent="0.25">
      <c r="A1289" s="1" t="s">
        <v>160</v>
      </c>
    </row>
    <row r="1290" spans="1:1" x14ac:dyDescent="0.25">
      <c r="A1290" s="1" t="s">
        <v>20</v>
      </c>
    </row>
    <row r="1291" spans="1:1" x14ac:dyDescent="0.25">
      <c r="A1291" s="1" t="s">
        <v>21</v>
      </c>
    </row>
    <row r="1308" spans="1:1" x14ac:dyDescent="0.25">
      <c r="A1308" s="1" t="s">
        <v>0</v>
      </c>
    </row>
    <row r="1309" spans="1:1" x14ac:dyDescent="0.25">
      <c r="A1309" s="1" t="s">
        <v>1</v>
      </c>
    </row>
    <row r="1311" spans="1:1" x14ac:dyDescent="0.25">
      <c r="A1311" s="1" t="s">
        <v>2</v>
      </c>
    </row>
    <row r="1313" spans="1:1" x14ac:dyDescent="0.25">
      <c r="A1313" s="1" t="s">
        <v>161</v>
      </c>
    </row>
    <row r="1316" spans="1:1" x14ac:dyDescent="0.25">
      <c r="A1316" s="1" t="s">
        <v>4</v>
      </c>
    </row>
    <row r="1317" spans="1:1" x14ac:dyDescent="0.25">
      <c r="A1317" s="1" t="s">
        <v>5</v>
      </c>
    </row>
    <row r="1318" spans="1:1" x14ac:dyDescent="0.25">
      <c r="A1318" s="1" t="s">
        <v>6</v>
      </c>
    </row>
    <row r="1319" spans="1:1" x14ac:dyDescent="0.25">
      <c r="A1319" s="1" t="s">
        <v>7</v>
      </c>
    </row>
    <row r="1320" spans="1:1" x14ac:dyDescent="0.25">
      <c r="A1320" s="1" t="s">
        <v>8</v>
      </c>
    </row>
    <row r="1321" spans="1:1" x14ac:dyDescent="0.25">
      <c r="A1321" s="1" t="s">
        <v>9</v>
      </c>
    </row>
    <row r="1322" spans="1:1" x14ac:dyDescent="0.25">
      <c r="A1322" s="1" t="s">
        <v>10</v>
      </c>
    </row>
    <row r="1323" spans="1:1" x14ac:dyDescent="0.25">
      <c r="A1323" s="1" t="s">
        <v>11</v>
      </c>
    </row>
    <row r="1324" spans="1:1" x14ac:dyDescent="0.25">
      <c r="A1324" s="1" t="s">
        <v>162</v>
      </c>
    </row>
    <row r="1325" spans="1:1" x14ac:dyDescent="0.25">
      <c r="A1325" s="1" t="s">
        <v>13</v>
      </c>
    </row>
    <row r="1326" spans="1:1" x14ac:dyDescent="0.25">
      <c r="A1326" s="1" t="s">
        <v>163</v>
      </c>
    </row>
    <row r="1327" spans="1:1" x14ac:dyDescent="0.25">
      <c r="A1327" s="1" t="s">
        <v>15</v>
      </c>
    </row>
    <row r="1328" spans="1:1" x14ac:dyDescent="0.25">
      <c r="A1328" s="1" t="s">
        <v>164</v>
      </c>
    </row>
    <row r="1329" spans="1:1" x14ac:dyDescent="0.25">
      <c r="A1329" s="1" t="s">
        <v>17</v>
      </c>
    </row>
    <row r="1330" spans="1:1" x14ac:dyDescent="0.25">
      <c r="A1330" s="1" t="s">
        <v>165</v>
      </c>
    </row>
    <row r="1331" spans="1:1" x14ac:dyDescent="0.25">
      <c r="A1331" s="1" t="s">
        <v>17</v>
      </c>
    </row>
    <row r="1332" spans="1:1" x14ac:dyDescent="0.25">
      <c r="A1332" s="1" t="s">
        <v>166</v>
      </c>
    </row>
    <row r="1333" spans="1:1" x14ac:dyDescent="0.25">
      <c r="A1333" s="1" t="s">
        <v>20</v>
      </c>
    </row>
    <row r="1334" spans="1:1" x14ac:dyDescent="0.25">
      <c r="A1334" s="1" t="s">
        <v>21</v>
      </c>
    </row>
    <row r="1351" spans="1:1" x14ac:dyDescent="0.25">
      <c r="A1351" s="1" t="s">
        <v>0</v>
      </c>
    </row>
    <row r="1352" spans="1:1" x14ac:dyDescent="0.25">
      <c r="A1352" s="1" t="s">
        <v>1</v>
      </c>
    </row>
    <row r="1354" spans="1:1" x14ac:dyDescent="0.25">
      <c r="A1354" s="1" t="s">
        <v>2</v>
      </c>
    </row>
    <row r="1356" spans="1:1" x14ac:dyDescent="0.25">
      <c r="A1356" s="1" t="s">
        <v>167</v>
      </c>
    </row>
    <row r="1359" spans="1:1" x14ac:dyDescent="0.25">
      <c r="A1359" s="1" t="s">
        <v>4</v>
      </c>
    </row>
    <row r="1360" spans="1:1" x14ac:dyDescent="0.25">
      <c r="A1360" s="1" t="s">
        <v>5</v>
      </c>
    </row>
    <row r="1361" spans="1:1" x14ac:dyDescent="0.25">
      <c r="A1361" s="1" t="s">
        <v>6</v>
      </c>
    </row>
    <row r="1362" spans="1:1" x14ac:dyDescent="0.25">
      <c r="A1362" s="1" t="s">
        <v>7</v>
      </c>
    </row>
    <row r="1363" spans="1:1" x14ac:dyDescent="0.25">
      <c r="A1363" s="1" t="s">
        <v>8</v>
      </c>
    </row>
    <row r="1364" spans="1:1" x14ac:dyDescent="0.25">
      <c r="A1364" s="1" t="s">
        <v>9</v>
      </c>
    </row>
    <row r="1365" spans="1:1" x14ac:dyDescent="0.25">
      <c r="A1365" s="1" t="s">
        <v>10</v>
      </c>
    </row>
    <row r="1366" spans="1:1" x14ac:dyDescent="0.25">
      <c r="A1366" s="1" t="s">
        <v>11</v>
      </c>
    </row>
    <row r="1367" spans="1:1" x14ac:dyDescent="0.25">
      <c r="A1367" s="1" t="s">
        <v>29</v>
      </c>
    </row>
    <row r="1368" spans="1:1" x14ac:dyDescent="0.25">
      <c r="A1368" s="1" t="s">
        <v>13</v>
      </c>
    </row>
    <row r="1369" spans="1:1" x14ac:dyDescent="0.25">
      <c r="A1369" s="1" t="s">
        <v>42</v>
      </c>
    </row>
    <row r="1370" spans="1:1" x14ac:dyDescent="0.25">
      <c r="A1370" s="1" t="s">
        <v>15</v>
      </c>
    </row>
    <row r="1371" spans="1:1" x14ac:dyDescent="0.25">
      <c r="A1371" s="1" t="s">
        <v>37</v>
      </c>
    </row>
    <row r="1372" spans="1:1" x14ac:dyDescent="0.25">
      <c r="A1372" s="1" t="s">
        <v>17</v>
      </c>
    </row>
    <row r="1373" spans="1:1" x14ac:dyDescent="0.25">
      <c r="A1373" s="1" t="s">
        <v>168</v>
      </c>
    </row>
    <row r="1374" spans="1:1" x14ac:dyDescent="0.25">
      <c r="A1374" s="1" t="s">
        <v>17</v>
      </c>
    </row>
    <row r="1375" spans="1:1" x14ac:dyDescent="0.25">
      <c r="A1375" s="1" t="s">
        <v>169</v>
      </c>
    </row>
    <row r="1376" spans="1:1" x14ac:dyDescent="0.25">
      <c r="A1376" s="1" t="s">
        <v>20</v>
      </c>
    </row>
    <row r="1377" spans="1:1" x14ac:dyDescent="0.25">
      <c r="A1377" s="1" t="s">
        <v>21</v>
      </c>
    </row>
    <row r="1394" spans="1:1" x14ac:dyDescent="0.25">
      <c r="A1394" s="1" t="s">
        <v>0</v>
      </c>
    </row>
    <row r="1395" spans="1:1" x14ac:dyDescent="0.25">
      <c r="A1395" s="1" t="s">
        <v>1</v>
      </c>
    </row>
    <row r="1397" spans="1:1" x14ac:dyDescent="0.25">
      <c r="A1397" s="1" t="s">
        <v>2</v>
      </c>
    </row>
    <row r="1399" spans="1:1" x14ac:dyDescent="0.25">
      <c r="A1399" s="1" t="s">
        <v>170</v>
      </c>
    </row>
    <row r="1402" spans="1:1" x14ac:dyDescent="0.25">
      <c r="A1402" s="1" t="s">
        <v>4</v>
      </c>
    </row>
    <row r="1403" spans="1:1" x14ac:dyDescent="0.25">
      <c r="A1403" s="1" t="s">
        <v>5</v>
      </c>
    </row>
    <row r="1404" spans="1:1" x14ac:dyDescent="0.25">
      <c r="A1404" s="1" t="s">
        <v>6</v>
      </c>
    </row>
    <row r="1405" spans="1:1" x14ac:dyDescent="0.25">
      <c r="A1405" s="1" t="s">
        <v>7</v>
      </c>
    </row>
    <row r="1406" spans="1:1" x14ac:dyDescent="0.25">
      <c r="A1406" s="1" t="s">
        <v>8</v>
      </c>
    </row>
    <row r="1407" spans="1:1" x14ac:dyDescent="0.25">
      <c r="A1407" s="1" t="s">
        <v>9</v>
      </c>
    </row>
    <row r="1408" spans="1:1" x14ac:dyDescent="0.25">
      <c r="A1408" s="1" t="s">
        <v>10</v>
      </c>
    </row>
    <row r="1409" spans="1:1" x14ac:dyDescent="0.25">
      <c r="A1409" s="1" t="s">
        <v>11</v>
      </c>
    </row>
    <row r="1410" spans="1:1" x14ac:dyDescent="0.25">
      <c r="A1410" s="1" t="s">
        <v>171</v>
      </c>
    </row>
    <row r="1411" spans="1:1" x14ac:dyDescent="0.25">
      <c r="A1411" s="1" t="s">
        <v>13</v>
      </c>
    </row>
    <row r="1412" spans="1:1" x14ac:dyDescent="0.25">
      <c r="A1412" s="1" t="s">
        <v>172</v>
      </c>
    </row>
    <row r="1413" spans="1:1" x14ac:dyDescent="0.25">
      <c r="A1413" s="1" t="s">
        <v>15</v>
      </c>
    </row>
    <row r="1414" spans="1:1" x14ac:dyDescent="0.25">
      <c r="A1414" s="1" t="s">
        <v>173</v>
      </c>
    </row>
    <row r="1415" spans="1:1" x14ac:dyDescent="0.25">
      <c r="A1415" s="1" t="s">
        <v>17</v>
      </c>
    </row>
    <row r="1416" spans="1:1" x14ac:dyDescent="0.25">
      <c r="A1416" s="1" t="s">
        <v>174</v>
      </c>
    </row>
    <row r="1417" spans="1:1" x14ac:dyDescent="0.25">
      <c r="A1417" s="1" t="s">
        <v>17</v>
      </c>
    </row>
    <row r="1418" spans="1:1" x14ac:dyDescent="0.25">
      <c r="A1418" s="1" t="s">
        <v>175</v>
      </c>
    </row>
    <row r="1419" spans="1:1" x14ac:dyDescent="0.25">
      <c r="A1419" s="1" t="s">
        <v>20</v>
      </c>
    </row>
    <row r="1420" spans="1:1" x14ac:dyDescent="0.25">
      <c r="A1420" s="1" t="s">
        <v>21</v>
      </c>
    </row>
    <row r="1437" spans="1:1" x14ac:dyDescent="0.25">
      <c r="A1437" s="1" t="s">
        <v>0</v>
      </c>
    </row>
    <row r="1438" spans="1:1" x14ac:dyDescent="0.25">
      <c r="A1438" s="1" t="s">
        <v>1</v>
      </c>
    </row>
    <row r="1440" spans="1:1" x14ac:dyDescent="0.25">
      <c r="A1440" s="1" t="s">
        <v>2</v>
      </c>
    </row>
    <row r="1442" spans="1:1" x14ac:dyDescent="0.25">
      <c r="A1442" s="1" t="s">
        <v>176</v>
      </c>
    </row>
    <row r="1445" spans="1:1" x14ac:dyDescent="0.25">
      <c r="A1445" s="1" t="s">
        <v>4</v>
      </c>
    </row>
    <row r="1446" spans="1:1" x14ac:dyDescent="0.25">
      <c r="A1446" s="1" t="s">
        <v>5</v>
      </c>
    </row>
    <row r="1447" spans="1:1" x14ac:dyDescent="0.25">
      <c r="A1447" s="1" t="s">
        <v>6</v>
      </c>
    </row>
    <row r="1448" spans="1:1" x14ac:dyDescent="0.25">
      <c r="A1448" s="1" t="s">
        <v>7</v>
      </c>
    </row>
    <row r="1449" spans="1:1" x14ac:dyDescent="0.25">
      <c r="A1449" s="1" t="s">
        <v>8</v>
      </c>
    </row>
    <row r="1450" spans="1:1" x14ac:dyDescent="0.25">
      <c r="A1450" s="1" t="s">
        <v>9</v>
      </c>
    </row>
    <row r="1451" spans="1:1" x14ac:dyDescent="0.25">
      <c r="A1451" s="1" t="s">
        <v>10</v>
      </c>
    </row>
    <row r="1452" spans="1:1" x14ac:dyDescent="0.25">
      <c r="A1452" s="1" t="s">
        <v>11</v>
      </c>
    </row>
    <row r="1453" spans="1:1" x14ac:dyDescent="0.25">
      <c r="A1453" s="1" t="s">
        <v>29</v>
      </c>
    </row>
    <row r="1454" spans="1:1" x14ac:dyDescent="0.25">
      <c r="A1454" s="1" t="s">
        <v>13</v>
      </c>
    </row>
    <row r="1455" spans="1:1" x14ac:dyDescent="0.25">
      <c r="A1455" s="1" t="s">
        <v>24</v>
      </c>
    </row>
    <row r="1456" spans="1:1" x14ac:dyDescent="0.25">
      <c r="A1456" s="1" t="s">
        <v>15</v>
      </c>
    </row>
    <row r="1457" spans="1:1" x14ac:dyDescent="0.25">
      <c r="A1457" s="1" t="s">
        <v>43</v>
      </c>
    </row>
    <row r="1458" spans="1:1" x14ac:dyDescent="0.25">
      <c r="A1458" s="1" t="s">
        <v>17</v>
      </c>
    </row>
    <row r="1459" spans="1:1" x14ac:dyDescent="0.25">
      <c r="A1459" s="1" t="s">
        <v>177</v>
      </c>
    </row>
    <row r="1460" spans="1:1" x14ac:dyDescent="0.25">
      <c r="A1460" s="1" t="s">
        <v>17</v>
      </c>
    </row>
    <row r="1461" spans="1:1" x14ac:dyDescent="0.25">
      <c r="A1461" s="1" t="s">
        <v>178</v>
      </c>
    </row>
    <row r="1462" spans="1:1" x14ac:dyDescent="0.25">
      <c r="A1462" s="1" t="s">
        <v>20</v>
      </c>
    </row>
    <row r="1463" spans="1:1" x14ac:dyDescent="0.25">
      <c r="A1463" s="1" t="s">
        <v>21</v>
      </c>
    </row>
    <row r="1480" spans="1:1" x14ac:dyDescent="0.25">
      <c r="A1480" s="1" t="s">
        <v>0</v>
      </c>
    </row>
    <row r="1481" spans="1:1" x14ac:dyDescent="0.25">
      <c r="A1481" s="1" t="s">
        <v>1</v>
      </c>
    </row>
    <row r="1483" spans="1:1" x14ac:dyDescent="0.25">
      <c r="A1483" s="1" t="s">
        <v>2</v>
      </c>
    </row>
    <row r="1485" spans="1:1" x14ac:dyDescent="0.25">
      <c r="A1485" s="1" t="s">
        <v>179</v>
      </c>
    </row>
    <row r="1488" spans="1:1" x14ac:dyDescent="0.25">
      <c r="A1488" s="1" t="s">
        <v>4</v>
      </c>
    </row>
    <row r="1489" spans="1:1" x14ac:dyDescent="0.25">
      <c r="A1489" s="1" t="s">
        <v>5</v>
      </c>
    </row>
    <row r="1490" spans="1:1" x14ac:dyDescent="0.25">
      <c r="A1490" s="1" t="s">
        <v>6</v>
      </c>
    </row>
    <row r="1491" spans="1:1" x14ac:dyDescent="0.25">
      <c r="A1491" s="1" t="s">
        <v>7</v>
      </c>
    </row>
    <row r="1492" spans="1:1" x14ac:dyDescent="0.25">
      <c r="A1492" s="1" t="s">
        <v>8</v>
      </c>
    </row>
    <row r="1493" spans="1:1" x14ac:dyDescent="0.25">
      <c r="A1493" s="1" t="s">
        <v>9</v>
      </c>
    </row>
    <row r="1494" spans="1:1" x14ac:dyDescent="0.25">
      <c r="A1494" s="1" t="s">
        <v>10</v>
      </c>
    </row>
    <row r="1495" spans="1:1" x14ac:dyDescent="0.25">
      <c r="A1495" s="1" t="s">
        <v>11</v>
      </c>
    </row>
    <row r="1496" spans="1:1" x14ac:dyDescent="0.25">
      <c r="A1496" s="1" t="s">
        <v>29</v>
      </c>
    </row>
    <row r="1497" spans="1:1" x14ac:dyDescent="0.25">
      <c r="A1497" s="1" t="s">
        <v>13</v>
      </c>
    </row>
    <row r="1498" spans="1:1" x14ac:dyDescent="0.25">
      <c r="A1498" s="1" t="s">
        <v>42</v>
      </c>
    </row>
    <row r="1499" spans="1:1" x14ac:dyDescent="0.25">
      <c r="A1499" s="1" t="s">
        <v>15</v>
      </c>
    </row>
    <row r="1500" spans="1:1" x14ac:dyDescent="0.25">
      <c r="A1500" s="1" t="s">
        <v>37</v>
      </c>
    </row>
    <row r="1501" spans="1:1" x14ac:dyDescent="0.25">
      <c r="A1501" s="1" t="s">
        <v>17</v>
      </c>
    </row>
    <row r="1502" spans="1:1" x14ac:dyDescent="0.25">
      <c r="A1502" s="1" t="s">
        <v>180</v>
      </c>
    </row>
    <row r="1503" spans="1:1" x14ac:dyDescent="0.25">
      <c r="A1503" s="1" t="s">
        <v>17</v>
      </c>
    </row>
    <row r="1504" spans="1:1" x14ac:dyDescent="0.25">
      <c r="A1504" s="1" t="s">
        <v>181</v>
      </c>
    </row>
    <row r="1505" spans="1:1" x14ac:dyDescent="0.25">
      <c r="A1505" s="1" t="s">
        <v>20</v>
      </c>
    </row>
    <row r="1506" spans="1:1" x14ac:dyDescent="0.25">
      <c r="A1506" s="1" t="s">
        <v>21</v>
      </c>
    </row>
    <row r="1523" spans="1:1" x14ac:dyDescent="0.25">
      <c r="A1523" s="1" t="s">
        <v>0</v>
      </c>
    </row>
    <row r="1524" spans="1:1" x14ac:dyDescent="0.25">
      <c r="A1524" s="1" t="s">
        <v>1</v>
      </c>
    </row>
    <row r="1526" spans="1:1" x14ac:dyDescent="0.25">
      <c r="A1526" s="1" t="s">
        <v>2</v>
      </c>
    </row>
    <row r="1528" spans="1:1" x14ac:dyDescent="0.25">
      <c r="A1528" s="1" t="s">
        <v>182</v>
      </c>
    </row>
    <row r="1531" spans="1:1" x14ac:dyDescent="0.25">
      <c r="A1531" s="1" t="s">
        <v>4</v>
      </c>
    </row>
    <row r="1532" spans="1:1" x14ac:dyDescent="0.25">
      <c r="A1532" s="1" t="s">
        <v>5</v>
      </c>
    </row>
    <row r="1533" spans="1:1" x14ac:dyDescent="0.25">
      <c r="A1533" s="1" t="s">
        <v>6</v>
      </c>
    </row>
    <row r="1534" spans="1:1" x14ac:dyDescent="0.25">
      <c r="A1534" s="1" t="s">
        <v>7</v>
      </c>
    </row>
    <row r="1535" spans="1:1" x14ac:dyDescent="0.25">
      <c r="A1535" s="1" t="s">
        <v>8</v>
      </c>
    </row>
    <row r="1536" spans="1:1" x14ac:dyDescent="0.25">
      <c r="A1536" s="1" t="s">
        <v>9</v>
      </c>
    </row>
    <row r="1537" spans="1:1" x14ac:dyDescent="0.25">
      <c r="A1537" s="1" t="s">
        <v>10</v>
      </c>
    </row>
    <row r="1538" spans="1:1" x14ac:dyDescent="0.25">
      <c r="A1538" s="1" t="s">
        <v>11</v>
      </c>
    </row>
    <row r="1539" spans="1:1" x14ac:dyDescent="0.25">
      <c r="A1539" s="1" t="s">
        <v>183</v>
      </c>
    </row>
    <row r="1540" spans="1:1" x14ac:dyDescent="0.25">
      <c r="A1540" s="1" t="s">
        <v>13</v>
      </c>
    </row>
    <row r="1541" spans="1:1" x14ac:dyDescent="0.25">
      <c r="A1541" s="1" t="s">
        <v>184</v>
      </c>
    </row>
    <row r="1542" spans="1:1" x14ac:dyDescent="0.25">
      <c r="A1542" s="1" t="s">
        <v>15</v>
      </c>
    </row>
    <row r="1543" spans="1:1" x14ac:dyDescent="0.25">
      <c r="A1543" s="1" t="s">
        <v>185</v>
      </c>
    </row>
    <row r="1544" spans="1:1" x14ac:dyDescent="0.25">
      <c r="A1544" s="1" t="s">
        <v>17</v>
      </c>
    </row>
    <row r="1545" spans="1:1" x14ac:dyDescent="0.25">
      <c r="A1545" s="1" t="s">
        <v>186</v>
      </c>
    </row>
    <row r="1546" spans="1:1" x14ac:dyDescent="0.25">
      <c r="A1546" s="1" t="s">
        <v>17</v>
      </c>
    </row>
    <row r="1547" spans="1:1" x14ac:dyDescent="0.25">
      <c r="A1547" s="1" t="s">
        <v>187</v>
      </c>
    </row>
    <row r="1548" spans="1:1" x14ac:dyDescent="0.25">
      <c r="A1548" s="1" t="s">
        <v>20</v>
      </c>
    </row>
    <row r="1549" spans="1:1" x14ac:dyDescent="0.25">
      <c r="A1549" s="1" t="s">
        <v>21</v>
      </c>
    </row>
    <row r="1566" spans="1:1" x14ac:dyDescent="0.25">
      <c r="A1566" s="1" t="s">
        <v>0</v>
      </c>
    </row>
    <row r="1567" spans="1:1" x14ac:dyDescent="0.25">
      <c r="A1567" s="1" t="s">
        <v>1</v>
      </c>
    </row>
    <row r="1569" spans="1:1" x14ac:dyDescent="0.25">
      <c r="A1569" s="1" t="s">
        <v>2</v>
      </c>
    </row>
    <row r="1571" spans="1:1" x14ac:dyDescent="0.25">
      <c r="A1571" s="1" t="s">
        <v>188</v>
      </c>
    </row>
    <row r="1574" spans="1:1" x14ac:dyDescent="0.25">
      <c r="A1574" s="1" t="s">
        <v>4</v>
      </c>
    </row>
    <row r="1575" spans="1:1" x14ac:dyDescent="0.25">
      <c r="A1575" s="1" t="s">
        <v>5</v>
      </c>
    </row>
    <row r="1576" spans="1:1" x14ac:dyDescent="0.25">
      <c r="A1576" s="1" t="s">
        <v>6</v>
      </c>
    </row>
    <row r="1577" spans="1:1" x14ac:dyDescent="0.25">
      <c r="A1577" s="1" t="s">
        <v>7</v>
      </c>
    </row>
    <row r="1578" spans="1:1" x14ac:dyDescent="0.25">
      <c r="A1578" s="1" t="s">
        <v>8</v>
      </c>
    </row>
    <row r="1579" spans="1:1" x14ac:dyDescent="0.25">
      <c r="A1579" s="1" t="s">
        <v>9</v>
      </c>
    </row>
    <row r="1580" spans="1:1" x14ac:dyDescent="0.25">
      <c r="A1580" s="1" t="s">
        <v>10</v>
      </c>
    </row>
    <row r="1581" spans="1:1" x14ac:dyDescent="0.25">
      <c r="A1581" s="1" t="s">
        <v>11</v>
      </c>
    </row>
    <row r="1582" spans="1:1" x14ac:dyDescent="0.25">
      <c r="A1582" s="1" t="s">
        <v>41</v>
      </c>
    </row>
    <row r="1583" spans="1:1" x14ac:dyDescent="0.25">
      <c r="A1583" s="1" t="s">
        <v>13</v>
      </c>
    </row>
    <row r="1584" spans="1:1" x14ac:dyDescent="0.25">
      <c r="A1584" s="1" t="s">
        <v>189</v>
      </c>
    </row>
    <row r="1585" spans="1:1" x14ac:dyDescent="0.25">
      <c r="A1585" s="1" t="s">
        <v>15</v>
      </c>
    </row>
    <row r="1586" spans="1:1" x14ac:dyDescent="0.25">
      <c r="A1586" s="1" t="s">
        <v>31</v>
      </c>
    </row>
    <row r="1587" spans="1:1" x14ac:dyDescent="0.25">
      <c r="A1587" s="1" t="s">
        <v>17</v>
      </c>
    </row>
    <row r="1588" spans="1:1" x14ac:dyDescent="0.25">
      <c r="A1588" s="1" t="s">
        <v>190</v>
      </c>
    </row>
    <row r="1589" spans="1:1" x14ac:dyDescent="0.25">
      <c r="A1589" s="1" t="s">
        <v>17</v>
      </c>
    </row>
    <row r="1590" spans="1:1" x14ac:dyDescent="0.25">
      <c r="A1590" s="1" t="s">
        <v>191</v>
      </c>
    </row>
    <row r="1591" spans="1:1" x14ac:dyDescent="0.25">
      <c r="A1591" s="1" t="s">
        <v>20</v>
      </c>
    </row>
    <row r="1592" spans="1:1" x14ac:dyDescent="0.25">
      <c r="A1592" s="1" t="s">
        <v>21</v>
      </c>
    </row>
    <row r="1609" spans="1:1" x14ac:dyDescent="0.25">
      <c r="A1609" s="1" t="s">
        <v>0</v>
      </c>
    </row>
    <row r="1610" spans="1:1" x14ac:dyDescent="0.25">
      <c r="A1610" s="1" t="s">
        <v>1</v>
      </c>
    </row>
    <row r="1612" spans="1:1" x14ac:dyDescent="0.25">
      <c r="A1612" s="1" t="s">
        <v>2</v>
      </c>
    </row>
    <row r="1614" spans="1:1" x14ac:dyDescent="0.25">
      <c r="A1614" s="1" t="s">
        <v>192</v>
      </c>
    </row>
    <row r="1617" spans="1:1" x14ac:dyDescent="0.25">
      <c r="A1617" s="1" t="s">
        <v>4</v>
      </c>
    </row>
    <row r="1618" spans="1:1" x14ac:dyDescent="0.25">
      <c r="A1618" s="1" t="s">
        <v>5</v>
      </c>
    </row>
    <row r="1619" spans="1:1" x14ac:dyDescent="0.25">
      <c r="A1619" s="1" t="s">
        <v>6</v>
      </c>
    </row>
    <row r="1620" spans="1:1" x14ac:dyDescent="0.25">
      <c r="A1620" s="1" t="s">
        <v>7</v>
      </c>
    </row>
    <row r="1621" spans="1:1" x14ac:dyDescent="0.25">
      <c r="A1621" s="1" t="s">
        <v>8</v>
      </c>
    </row>
    <row r="1622" spans="1:1" x14ac:dyDescent="0.25">
      <c r="A1622" s="1" t="s">
        <v>9</v>
      </c>
    </row>
    <row r="1623" spans="1:1" x14ac:dyDescent="0.25">
      <c r="A1623" s="1" t="s">
        <v>10</v>
      </c>
    </row>
    <row r="1624" spans="1:1" x14ac:dyDescent="0.25">
      <c r="A1624" s="1" t="s">
        <v>11</v>
      </c>
    </row>
    <row r="1625" spans="1:1" x14ac:dyDescent="0.25">
      <c r="A1625" s="1" t="s">
        <v>29</v>
      </c>
    </row>
    <row r="1626" spans="1:1" x14ac:dyDescent="0.25">
      <c r="A1626" s="1" t="s">
        <v>13</v>
      </c>
    </row>
    <row r="1627" spans="1:1" x14ac:dyDescent="0.25">
      <c r="A1627" s="1" t="s">
        <v>24</v>
      </c>
    </row>
    <row r="1628" spans="1:1" x14ac:dyDescent="0.25">
      <c r="A1628" s="1" t="s">
        <v>15</v>
      </c>
    </row>
    <row r="1629" spans="1:1" x14ac:dyDescent="0.25">
      <c r="A1629" s="1" t="s">
        <v>31</v>
      </c>
    </row>
    <row r="1630" spans="1:1" x14ac:dyDescent="0.25">
      <c r="A1630" s="1" t="s">
        <v>17</v>
      </c>
    </row>
    <row r="1631" spans="1:1" x14ac:dyDescent="0.25">
      <c r="A1631" s="1" t="s">
        <v>193</v>
      </c>
    </row>
    <row r="1632" spans="1:1" x14ac:dyDescent="0.25">
      <c r="A1632" s="1" t="s">
        <v>17</v>
      </c>
    </row>
    <row r="1633" spans="1:1" x14ac:dyDescent="0.25">
      <c r="A1633" s="1" t="s">
        <v>194</v>
      </c>
    </row>
    <row r="1634" spans="1:1" x14ac:dyDescent="0.25">
      <c r="A1634" s="1" t="s">
        <v>20</v>
      </c>
    </row>
    <row r="1635" spans="1:1" x14ac:dyDescent="0.25">
      <c r="A1635" s="1" t="s">
        <v>21</v>
      </c>
    </row>
    <row r="1652" spans="1:1" x14ac:dyDescent="0.25">
      <c r="A1652" s="1" t="s">
        <v>0</v>
      </c>
    </row>
    <row r="1653" spans="1:1" x14ac:dyDescent="0.25">
      <c r="A1653" s="1" t="s">
        <v>1</v>
      </c>
    </row>
    <row r="1655" spans="1:1" x14ac:dyDescent="0.25">
      <c r="A1655" s="1" t="s">
        <v>2</v>
      </c>
    </row>
    <row r="1657" spans="1:1" x14ac:dyDescent="0.25">
      <c r="A1657" s="1" t="s">
        <v>195</v>
      </c>
    </row>
    <row r="1660" spans="1:1" x14ac:dyDescent="0.25">
      <c r="A1660" s="1" t="s">
        <v>4</v>
      </c>
    </row>
    <row r="1661" spans="1:1" x14ac:dyDescent="0.25">
      <c r="A1661" s="1" t="s">
        <v>5</v>
      </c>
    </row>
    <row r="1662" spans="1:1" x14ac:dyDescent="0.25">
      <c r="A1662" s="1" t="s">
        <v>6</v>
      </c>
    </row>
    <row r="1663" spans="1:1" x14ac:dyDescent="0.25">
      <c r="A1663" s="1" t="s">
        <v>7</v>
      </c>
    </row>
    <row r="1664" spans="1:1" x14ac:dyDescent="0.25">
      <c r="A1664" s="1" t="s">
        <v>8</v>
      </c>
    </row>
    <row r="1665" spans="1:1" x14ac:dyDescent="0.25">
      <c r="A1665" s="1" t="s">
        <v>9</v>
      </c>
    </row>
    <row r="1666" spans="1:1" x14ac:dyDescent="0.25">
      <c r="A1666" s="1" t="s">
        <v>10</v>
      </c>
    </row>
    <row r="1667" spans="1:1" x14ac:dyDescent="0.25">
      <c r="A1667" s="1" t="s">
        <v>11</v>
      </c>
    </row>
    <row r="1668" spans="1:1" x14ac:dyDescent="0.25">
      <c r="A1668" s="1" t="s">
        <v>29</v>
      </c>
    </row>
    <row r="1669" spans="1:1" x14ac:dyDescent="0.25">
      <c r="A1669" s="1" t="s">
        <v>13</v>
      </c>
    </row>
    <row r="1670" spans="1:1" x14ac:dyDescent="0.25">
      <c r="A1670" s="1" t="s">
        <v>42</v>
      </c>
    </row>
    <row r="1671" spans="1:1" x14ac:dyDescent="0.25">
      <c r="A1671" s="1" t="s">
        <v>15</v>
      </c>
    </row>
    <row r="1672" spans="1:1" x14ac:dyDescent="0.25">
      <c r="A1672" s="1" t="s">
        <v>31</v>
      </c>
    </row>
    <row r="1673" spans="1:1" x14ac:dyDescent="0.25">
      <c r="A1673" s="1" t="s">
        <v>17</v>
      </c>
    </row>
    <row r="1674" spans="1:1" x14ac:dyDescent="0.25">
      <c r="A1674" s="1" t="s">
        <v>196</v>
      </c>
    </row>
    <row r="1675" spans="1:1" x14ac:dyDescent="0.25">
      <c r="A1675" s="1" t="s">
        <v>17</v>
      </c>
    </row>
    <row r="1676" spans="1:1" x14ac:dyDescent="0.25">
      <c r="A1676" s="1" t="s">
        <v>197</v>
      </c>
    </row>
    <row r="1677" spans="1:1" x14ac:dyDescent="0.25">
      <c r="A1677" s="1" t="s">
        <v>20</v>
      </c>
    </row>
    <row r="1678" spans="1:1" x14ac:dyDescent="0.25">
      <c r="A1678" s="1" t="s">
        <v>21</v>
      </c>
    </row>
    <row r="1695" spans="1:1" x14ac:dyDescent="0.25">
      <c r="A1695" s="1" t="s">
        <v>0</v>
      </c>
    </row>
    <row r="1696" spans="1:1" x14ac:dyDescent="0.25">
      <c r="A1696" s="1" t="s">
        <v>1</v>
      </c>
    </row>
    <row r="1698" spans="1:1" x14ac:dyDescent="0.25">
      <c r="A1698" s="1" t="s">
        <v>2</v>
      </c>
    </row>
    <row r="1700" spans="1:1" x14ac:dyDescent="0.25">
      <c r="A1700" s="1" t="s">
        <v>198</v>
      </c>
    </row>
    <row r="1703" spans="1:1" x14ac:dyDescent="0.25">
      <c r="A1703" s="1" t="s">
        <v>4</v>
      </c>
    </row>
    <row r="1704" spans="1:1" x14ac:dyDescent="0.25">
      <c r="A1704" s="1" t="s">
        <v>5</v>
      </c>
    </row>
    <row r="1705" spans="1:1" x14ac:dyDescent="0.25">
      <c r="A1705" s="1" t="s">
        <v>6</v>
      </c>
    </row>
    <row r="1706" spans="1:1" x14ac:dyDescent="0.25">
      <c r="A1706" s="1" t="s">
        <v>7</v>
      </c>
    </row>
    <row r="1707" spans="1:1" x14ac:dyDescent="0.25">
      <c r="A1707" s="1" t="s">
        <v>8</v>
      </c>
    </row>
    <row r="1708" spans="1:1" x14ac:dyDescent="0.25">
      <c r="A1708" s="1" t="s">
        <v>9</v>
      </c>
    </row>
    <row r="1709" spans="1:1" x14ac:dyDescent="0.25">
      <c r="A1709" s="1" t="s">
        <v>10</v>
      </c>
    </row>
    <row r="1710" spans="1:1" x14ac:dyDescent="0.25">
      <c r="A1710" s="1" t="s">
        <v>11</v>
      </c>
    </row>
    <row r="1711" spans="1:1" x14ac:dyDescent="0.25">
      <c r="A1711" s="1" t="s">
        <v>29</v>
      </c>
    </row>
    <row r="1712" spans="1:1" x14ac:dyDescent="0.25">
      <c r="A1712" s="1" t="s">
        <v>13</v>
      </c>
    </row>
    <row r="1713" spans="1:1" x14ac:dyDescent="0.25">
      <c r="A1713" s="1" t="s">
        <v>42</v>
      </c>
    </row>
    <row r="1714" spans="1:1" x14ac:dyDescent="0.25">
      <c r="A1714" s="1" t="s">
        <v>15</v>
      </c>
    </row>
    <row r="1715" spans="1:1" x14ac:dyDescent="0.25">
      <c r="A1715" s="1" t="s">
        <v>37</v>
      </c>
    </row>
    <row r="1716" spans="1:1" x14ac:dyDescent="0.25">
      <c r="A1716" s="1" t="s">
        <v>17</v>
      </c>
    </row>
    <row r="1717" spans="1:1" x14ac:dyDescent="0.25">
      <c r="A1717" s="1" t="s">
        <v>199</v>
      </c>
    </row>
    <row r="1718" spans="1:1" x14ac:dyDescent="0.25">
      <c r="A1718" s="1" t="s">
        <v>17</v>
      </c>
    </row>
    <row r="1719" spans="1:1" x14ac:dyDescent="0.25">
      <c r="A1719" s="1" t="s">
        <v>200</v>
      </c>
    </row>
    <row r="1720" spans="1:1" x14ac:dyDescent="0.25">
      <c r="A1720" s="1" t="s">
        <v>20</v>
      </c>
    </row>
    <row r="1721" spans="1:1" x14ac:dyDescent="0.25">
      <c r="A1721" s="1" t="s">
        <v>21</v>
      </c>
    </row>
    <row r="1738" spans="1:1" x14ac:dyDescent="0.25">
      <c r="A1738" s="1" t="s">
        <v>0</v>
      </c>
    </row>
    <row r="1739" spans="1:1" x14ac:dyDescent="0.25">
      <c r="A1739" s="1" t="s">
        <v>1</v>
      </c>
    </row>
    <row r="1741" spans="1:1" x14ac:dyDescent="0.25">
      <c r="A1741" s="1" t="s">
        <v>2</v>
      </c>
    </row>
    <row r="1743" spans="1:1" x14ac:dyDescent="0.25">
      <c r="A1743" s="1" t="s">
        <v>201</v>
      </c>
    </row>
    <row r="1746" spans="1:1" x14ac:dyDescent="0.25">
      <c r="A1746" s="1" t="s">
        <v>4</v>
      </c>
    </row>
    <row r="1747" spans="1:1" x14ac:dyDescent="0.25">
      <c r="A1747" s="1" t="s">
        <v>5</v>
      </c>
    </row>
    <row r="1748" spans="1:1" x14ac:dyDescent="0.25">
      <c r="A1748" s="1" t="s">
        <v>6</v>
      </c>
    </row>
    <row r="1749" spans="1:1" x14ac:dyDescent="0.25">
      <c r="A1749" s="1" t="s">
        <v>7</v>
      </c>
    </row>
    <row r="1750" spans="1:1" x14ac:dyDescent="0.25">
      <c r="A1750" s="1" t="s">
        <v>8</v>
      </c>
    </row>
    <row r="1751" spans="1:1" x14ac:dyDescent="0.25">
      <c r="A1751" s="1" t="s">
        <v>9</v>
      </c>
    </row>
    <row r="1752" spans="1:1" x14ac:dyDescent="0.25">
      <c r="A1752" s="1" t="s">
        <v>10</v>
      </c>
    </row>
    <row r="1753" spans="1:1" x14ac:dyDescent="0.25">
      <c r="A1753" s="1" t="s">
        <v>11</v>
      </c>
    </row>
    <row r="1754" spans="1:1" x14ac:dyDescent="0.25">
      <c r="A1754" s="1" t="s">
        <v>81</v>
      </c>
    </row>
    <row r="1755" spans="1:1" x14ac:dyDescent="0.25">
      <c r="A1755" s="1" t="s">
        <v>13</v>
      </c>
    </row>
    <row r="1756" spans="1:1" x14ac:dyDescent="0.25">
      <c r="A1756" s="1" t="s">
        <v>202</v>
      </c>
    </row>
    <row r="1757" spans="1:1" x14ac:dyDescent="0.25">
      <c r="A1757" s="1" t="s">
        <v>15</v>
      </c>
    </row>
    <row r="1758" spans="1:1" x14ac:dyDescent="0.25">
      <c r="A1758" s="1" t="s">
        <v>203</v>
      </c>
    </row>
    <row r="1759" spans="1:1" x14ac:dyDescent="0.25">
      <c r="A1759" s="1" t="s">
        <v>17</v>
      </c>
    </row>
    <row r="1760" spans="1:1" x14ac:dyDescent="0.25">
      <c r="A1760" s="1" t="s">
        <v>204</v>
      </c>
    </row>
    <row r="1761" spans="1:1" x14ac:dyDescent="0.25">
      <c r="A1761" s="1" t="s">
        <v>17</v>
      </c>
    </row>
    <row r="1762" spans="1:1" x14ac:dyDescent="0.25">
      <c r="A1762" s="1" t="s">
        <v>205</v>
      </c>
    </row>
    <row r="1763" spans="1:1" x14ac:dyDescent="0.25">
      <c r="A1763" s="1" t="s">
        <v>20</v>
      </c>
    </row>
    <row r="1764" spans="1:1" x14ac:dyDescent="0.25">
      <c r="A1764" s="1" t="s">
        <v>21</v>
      </c>
    </row>
    <row r="1781" spans="1:1" x14ac:dyDescent="0.25">
      <c r="A1781" s="1" t="s">
        <v>0</v>
      </c>
    </row>
    <row r="1782" spans="1:1" x14ac:dyDescent="0.25">
      <c r="A1782" s="1" t="s">
        <v>1</v>
      </c>
    </row>
    <row r="1784" spans="1:1" x14ac:dyDescent="0.25">
      <c r="A1784" s="1" t="s">
        <v>2</v>
      </c>
    </row>
    <row r="1786" spans="1:1" x14ac:dyDescent="0.25">
      <c r="A1786" s="1" t="s">
        <v>206</v>
      </c>
    </row>
    <row r="1789" spans="1:1" x14ac:dyDescent="0.25">
      <c r="A1789" s="1" t="s">
        <v>4</v>
      </c>
    </row>
    <row r="1790" spans="1:1" x14ac:dyDescent="0.25">
      <c r="A1790" s="1" t="s">
        <v>5</v>
      </c>
    </row>
    <row r="1791" spans="1:1" x14ac:dyDescent="0.25">
      <c r="A1791" s="1" t="s">
        <v>6</v>
      </c>
    </row>
    <row r="1792" spans="1:1" x14ac:dyDescent="0.25">
      <c r="A1792" s="1" t="s">
        <v>7</v>
      </c>
    </row>
    <row r="1793" spans="1:1" x14ac:dyDescent="0.25">
      <c r="A1793" s="1" t="s">
        <v>8</v>
      </c>
    </row>
    <row r="1794" spans="1:1" x14ac:dyDescent="0.25">
      <c r="A1794" s="1" t="s">
        <v>9</v>
      </c>
    </row>
    <row r="1795" spans="1:1" x14ac:dyDescent="0.25">
      <c r="A1795" s="1" t="s">
        <v>10</v>
      </c>
    </row>
    <row r="1796" spans="1:1" x14ac:dyDescent="0.25">
      <c r="A1796" s="1" t="s">
        <v>11</v>
      </c>
    </row>
    <row r="1797" spans="1:1" x14ac:dyDescent="0.25">
      <c r="A1797" s="1" t="s">
        <v>207</v>
      </c>
    </row>
    <row r="1798" spans="1:1" x14ac:dyDescent="0.25">
      <c r="A1798" s="1" t="s">
        <v>13</v>
      </c>
    </row>
    <row r="1799" spans="1:1" x14ac:dyDescent="0.25">
      <c r="A1799" s="1" t="s">
        <v>42</v>
      </c>
    </row>
    <row r="1800" spans="1:1" x14ac:dyDescent="0.25">
      <c r="A1800" s="1" t="s">
        <v>15</v>
      </c>
    </row>
    <row r="1801" spans="1:1" x14ac:dyDescent="0.25">
      <c r="A1801" s="1" t="s">
        <v>208</v>
      </c>
    </row>
    <row r="1802" spans="1:1" x14ac:dyDescent="0.25">
      <c r="A1802" s="1" t="s">
        <v>17</v>
      </c>
    </row>
    <row r="1803" spans="1:1" x14ac:dyDescent="0.25">
      <c r="A1803" s="1" t="s">
        <v>209</v>
      </c>
    </row>
    <row r="1804" spans="1:1" x14ac:dyDescent="0.25">
      <c r="A1804" s="1" t="s">
        <v>17</v>
      </c>
    </row>
    <row r="1805" spans="1:1" x14ac:dyDescent="0.25">
      <c r="A1805" s="1" t="s">
        <v>210</v>
      </c>
    </row>
    <row r="1806" spans="1:1" x14ac:dyDescent="0.25">
      <c r="A1806" s="1" t="s">
        <v>20</v>
      </c>
    </row>
    <row r="1807" spans="1:1" x14ac:dyDescent="0.25">
      <c r="A1807" s="1" t="s">
        <v>21</v>
      </c>
    </row>
    <row r="1824" spans="1:1" x14ac:dyDescent="0.25">
      <c r="A1824" s="1" t="s">
        <v>0</v>
      </c>
    </row>
    <row r="1825" spans="1:1" x14ac:dyDescent="0.25">
      <c r="A1825" s="1" t="s">
        <v>1</v>
      </c>
    </row>
    <row r="1827" spans="1:1" x14ac:dyDescent="0.25">
      <c r="A1827" s="1" t="s">
        <v>2</v>
      </c>
    </row>
    <row r="1829" spans="1:1" x14ac:dyDescent="0.25">
      <c r="A1829" s="1" t="s">
        <v>211</v>
      </c>
    </row>
    <row r="1832" spans="1:1" x14ac:dyDescent="0.25">
      <c r="A1832" s="1" t="s">
        <v>4</v>
      </c>
    </row>
    <row r="1833" spans="1:1" x14ac:dyDescent="0.25">
      <c r="A1833" s="1" t="s">
        <v>5</v>
      </c>
    </row>
    <row r="1834" spans="1:1" x14ac:dyDescent="0.25">
      <c r="A1834" s="1" t="s">
        <v>6</v>
      </c>
    </row>
    <row r="1835" spans="1:1" x14ac:dyDescent="0.25">
      <c r="A1835" s="1" t="s">
        <v>7</v>
      </c>
    </row>
    <row r="1836" spans="1:1" x14ac:dyDescent="0.25">
      <c r="A1836" s="1" t="s">
        <v>8</v>
      </c>
    </row>
    <row r="1837" spans="1:1" x14ac:dyDescent="0.25">
      <c r="A1837" s="1" t="s">
        <v>9</v>
      </c>
    </row>
    <row r="1838" spans="1:1" x14ac:dyDescent="0.25">
      <c r="A1838" s="1" t="s">
        <v>10</v>
      </c>
    </row>
    <row r="1839" spans="1:1" x14ac:dyDescent="0.25">
      <c r="A1839" s="1" t="s">
        <v>11</v>
      </c>
    </row>
    <row r="1840" spans="1:1" x14ac:dyDescent="0.25">
      <c r="A1840" s="1" t="s">
        <v>29</v>
      </c>
    </row>
    <row r="1841" spans="1:1" x14ac:dyDescent="0.25">
      <c r="A1841" s="1" t="s">
        <v>13</v>
      </c>
    </row>
    <row r="1842" spans="1:1" x14ac:dyDescent="0.25">
      <c r="A1842" s="1" t="s">
        <v>212</v>
      </c>
    </row>
    <row r="1843" spans="1:1" x14ac:dyDescent="0.25">
      <c r="A1843" s="1" t="s">
        <v>15</v>
      </c>
    </row>
    <row r="1844" spans="1:1" x14ac:dyDescent="0.25">
      <c r="A1844" s="1" t="s">
        <v>213</v>
      </c>
    </row>
    <row r="1845" spans="1:1" x14ac:dyDescent="0.25">
      <c r="A1845" s="1" t="s">
        <v>17</v>
      </c>
    </row>
    <row r="1846" spans="1:1" x14ac:dyDescent="0.25">
      <c r="A1846" s="1" t="s">
        <v>214</v>
      </c>
    </row>
    <row r="1847" spans="1:1" x14ac:dyDescent="0.25">
      <c r="A1847" s="1" t="s">
        <v>17</v>
      </c>
    </row>
    <row r="1848" spans="1:1" x14ac:dyDescent="0.25">
      <c r="A1848" s="1" t="s">
        <v>215</v>
      </c>
    </row>
    <row r="1849" spans="1:1" x14ac:dyDescent="0.25">
      <c r="A1849" s="1" t="s">
        <v>20</v>
      </c>
    </row>
    <row r="1850" spans="1:1" x14ac:dyDescent="0.25">
      <c r="A1850" s="1" t="s">
        <v>21</v>
      </c>
    </row>
    <row r="1867" spans="1:1" x14ac:dyDescent="0.25">
      <c r="A1867" s="1" t="s">
        <v>0</v>
      </c>
    </row>
    <row r="1868" spans="1:1" x14ac:dyDescent="0.25">
      <c r="A1868" s="1" t="s">
        <v>1</v>
      </c>
    </row>
    <row r="1870" spans="1:1" x14ac:dyDescent="0.25">
      <c r="A1870" s="1" t="s">
        <v>2</v>
      </c>
    </row>
    <row r="1872" spans="1:1" x14ac:dyDescent="0.25">
      <c r="A1872" s="1" t="s">
        <v>216</v>
      </c>
    </row>
    <row r="1875" spans="1:1" x14ac:dyDescent="0.25">
      <c r="A1875" s="1" t="s">
        <v>4</v>
      </c>
    </row>
    <row r="1876" spans="1:1" x14ac:dyDescent="0.25">
      <c r="A1876" s="1" t="s">
        <v>5</v>
      </c>
    </row>
    <row r="1877" spans="1:1" x14ac:dyDescent="0.25">
      <c r="A1877" s="1" t="s">
        <v>6</v>
      </c>
    </row>
    <row r="1878" spans="1:1" x14ac:dyDescent="0.25">
      <c r="A1878" s="1" t="s">
        <v>7</v>
      </c>
    </row>
    <row r="1879" spans="1:1" x14ac:dyDescent="0.25">
      <c r="A1879" s="1" t="s">
        <v>8</v>
      </c>
    </row>
    <row r="1880" spans="1:1" x14ac:dyDescent="0.25">
      <c r="A1880" s="1" t="s">
        <v>9</v>
      </c>
    </row>
    <row r="1881" spans="1:1" x14ac:dyDescent="0.25">
      <c r="A1881" s="1" t="s">
        <v>10</v>
      </c>
    </row>
    <row r="1882" spans="1:1" x14ac:dyDescent="0.25">
      <c r="A1882" s="1" t="s">
        <v>11</v>
      </c>
    </row>
    <row r="1883" spans="1:1" x14ac:dyDescent="0.25">
      <c r="A1883" s="1" t="s">
        <v>85</v>
      </c>
    </row>
    <row r="1884" spans="1:1" x14ac:dyDescent="0.25">
      <c r="A1884" s="1" t="s">
        <v>13</v>
      </c>
    </row>
    <row r="1885" spans="1:1" x14ac:dyDescent="0.25">
      <c r="A1885" s="1" t="s">
        <v>42</v>
      </c>
    </row>
    <row r="1886" spans="1:1" x14ac:dyDescent="0.25">
      <c r="A1886" s="1" t="s">
        <v>15</v>
      </c>
    </row>
    <row r="1887" spans="1:1" x14ac:dyDescent="0.25">
      <c r="A1887" s="1" t="s">
        <v>217</v>
      </c>
    </row>
    <row r="1888" spans="1:1" x14ac:dyDescent="0.25">
      <c r="A1888" s="1" t="s">
        <v>17</v>
      </c>
    </row>
    <row r="1889" spans="1:1" x14ac:dyDescent="0.25">
      <c r="A1889" s="1" t="s">
        <v>218</v>
      </c>
    </row>
    <row r="1890" spans="1:1" x14ac:dyDescent="0.25">
      <c r="A1890" s="1" t="s">
        <v>17</v>
      </c>
    </row>
    <row r="1891" spans="1:1" x14ac:dyDescent="0.25">
      <c r="A1891" s="1" t="s">
        <v>219</v>
      </c>
    </row>
    <row r="1892" spans="1:1" x14ac:dyDescent="0.25">
      <c r="A1892" s="1" t="s">
        <v>20</v>
      </c>
    </row>
    <row r="1893" spans="1:1" x14ac:dyDescent="0.25">
      <c r="A1893" s="1" t="s">
        <v>21</v>
      </c>
    </row>
    <row r="1910" spans="1:1" x14ac:dyDescent="0.25">
      <c r="A1910" s="1" t="s">
        <v>0</v>
      </c>
    </row>
    <row r="1911" spans="1:1" x14ac:dyDescent="0.25">
      <c r="A1911" s="1" t="s">
        <v>1</v>
      </c>
    </row>
    <row r="1913" spans="1:1" x14ac:dyDescent="0.25">
      <c r="A1913" s="1" t="s">
        <v>2</v>
      </c>
    </row>
    <row r="1915" spans="1:1" x14ac:dyDescent="0.25">
      <c r="A1915" s="1" t="s">
        <v>220</v>
      </c>
    </row>
    <row r="1918" spans="1:1" x14ac:dyDescent="0.25">
      <c r="A1918" s="1" t="s">
        <v>4</v>
      </c>
    </row>
    <row r="1919" spans="1:1" x14ac:dyDescent="0.25">
      <c r="A1919" s="1" t="s">
        <v>5</v>
      </c>
    </row>
    <row r="1920" spans="1:1" x14ac:dyDescent="0.25">
      <c r="A1920" s="1" t="s">
        <v>6</v>
      </c>
    </row>
    <row r="1921" spans="1:1" x14ac:dyDescent="0.25">
      <c r="A1921" s="1" t="s">
        <v>7</v>
      </c>
    </row>
    <row r="1922" spans="1:1" x14ac:dyDescent="0.25">
      <c r="A1922" s="1" t="s">
        <v>8</v>
      </c>
    </row>
    <row r="1923" spans="1:1" x14ac:dyDescent="0.25">
      <c r="A1923" s="1" t="s">
        <v>9</v>
      </c>
    </row>
    <row r="1924" spans="1:1" x14ac:dyDescent="0.25">
      <c r="A1924" s="1" t="s">
        <v>10</v>
      </c>
    </row>
    <row r="1925" spans="1:1" x14ac:dyDescent="0.25">
      <c r="A1925" s="1" t="s">
        <v>11</v>
      </c>
    </row>
    <row r="1926" spans="1:1" x14ac:dyDescent="0.25">
      <c r="A1926" s="1" t="s">
        <v>151</v>
      </c>
    </row>
    <row r="1927" spans="1:1" x14ac:dyDescent="0.25">
      <c r="A1927" s="1" t="s">
        <v>13</v>
      </c>
    </row>
    <row r="1928" spans="1:1" x14ac:dyDescent="0.25">
      <c r="A1928" s="1" t="s">
        <v>221</v>
      </c>
    </row>
    <row r="1929" spans="1:1" x14ac:dyDescent="0.25">
      <c r="A1929" s="1" t="s">
        <v>15</v>
      </c>
    </row>
    <row r="1930" spans="1:1" x14ac:dyDescent="0.25">
      <c r="A1930" s="1" t="s">
        <v>37</v>
      </c>
    </row>
    <row r="1931" spans="1:1" x14ac:dyDescent="0.25">
      <c r="A1931" s="1" t="s">
        <v>17</v>
      </c>
    </row>
    <row r="1932" spans="1:1" x14ac:dyDescent="0.25">
      <c r="A1932" s="1" t="s">
        <v>222</v>
      </c>
    </row>
    <row r="1933" spans="1:1" x14ac:dyDescent="0.25">
      <c r="A1933" s="1" t="s">
        <v>17</v>
      </c>
    </row>
    <row r="1934" spans="1:1" x14ac:dyDescent="0.25">
      <c r="A1934" s="1" t="s">
        <v>223</v>
      </c>
    </row>
    <row r="1935" spans="1:1" x14ac:dyDescent="0.25">
      <c r="A1935" s="1" t="s">
        <v>20</v>
      </c>
    </row>
    <row r="1936" spans="1:1" x14ac:dyDescent="0.25">
      <c r="A1936" s="1" t="s">
        <v>21</v>
      </c>
    </row>
    <row r="1953" spans="1:1" x14ac:dyDescent="0.25">
      <c r="A1953" s="1" t="s">
        <v>0</v>
      </c>
    </row>
    <row r="1954" spans="1:1" x14ac:dyDescent="0.25">
      <c r="A1954" s="1" t="s">
        <v>1</v>
      </c>
    </row>
    <row r="1956" spans="1:1" x14ac:dyDescent="0.25">
      <c r="A1956" s="1" t="s">
        <v>2</v>
      </c>
    </row>
    <row r="1958" spans="1:1" x14ac:dyDescent="0.25">
      <c r="A1958" s="1" t="s">
        <v>224</v>
      </c>
    </row>
    <row r="1961" spans="1:1" x14ac:dyDescent="0.25">
      <c r="A1961" s="1" t="s">
        <v>4</v>
      </c>
    </row>
    <row r="1962" spans="1:1" x14ac:dyDescent="0.25">
      <c r="A1962" s="1" t="s">
        <v>5</v>
      </c>
    </row>
    <row r="1963" spans="1:1" x14ac:dyDescent="0.25">
      <c r="A1963" s="1" t="s">
        <v>6</v>
      </c>
    </row>
    <row r="1964" spans="1:1" x14ac:dyDescent="0.25">
      <c r="A1964" s="1" t="s">
        <v>7</v>
      </c>
    </row>
    <row r="1965" spans="1:1" x14ac:dyDescent="0.25">
      <c r="A1965" s="1" t="s">
        <v>8</v>
      </c>
    </row>
    <row r="1966" spans="1:1" x14ac:dyDescent="0.25">
      <c r="A1966" s="1" t="s">
        <v>9</v>
      </c>
    </row>
    <row r="1967" spans="1:1" x14ac:dyDescent="0.25">
      <c r="A1967" s="1" t="s">
        <v>10</v>
      </c>
    </row>
    <row r="1968" spans="1:1" x14ac:dyDescent="0.25">
      <c r="A1968" s="1" t="s">
        <v>11</v>
      </c>
    </row>
    <row r="1969" spans="1:1" x14ac:dyDescent="0.25">
      <c r="A1969" s="1" t="s">
        <v>225</v>
      </c>
    </row>
    <row r="1970" spans="1:1" x14ac:dyDescent="0.25">
      <c r="A1970" s="1" t="s">
        <v>13</v>
      </c>
    </row>
    <row r="1971" spans="1:1" x14ac:dyDescent="0.25">
      <c r="A1971" s="1" t="s">
        <v>226</v>
      </c>
    </row>
    <row r="1972" spans="1:1" x14ac:dyDescent="0.25">
      <c r="A1972" s="1" t="s">
        <v>15</v>
      </c>
    </row>
    <row r="1973" spans="1:1" x14ac:dyDescent="0.25">
      <c r="A1973" s="1" t="s">
        <v>31</v>
      </c>
    </row>
    <row r="1974" spans="1:1" x14ac:dyDescent="0.25">
      <c r="A1974" s="1" t="s">
        <v>17</v>
      </c>
    </row>
    <row r="1975" spans="1:1" x14ac:dyDescent="0.25">
      <c r="A1975" s="1" t="s">
        <v>227</v>
      </c>
    </row>
    <row r="1976" spans="1:1" x14ac:dyDescent="0.25">
      <c r="A1976" s="1" t="s">
        <v>17</v>
      </c>
    </row>
    <row r="1977" spans="1:1" x14ac:dyDescent="0.25">
      <c r="A1977" s="1" t="s">
        <v>228</v>
      </c>
    </row>
    <row r="1978" spans="1:1" x14ac:dyDescent="0.25">
      <c r="A1978" s="1" t="s">
        <v>20</v>
      </c>
    </row>
    <row r="1979" spans="1:1" x14ac:dyDescent="0.25">
      <c r="A1979" s="1" t="s">
        <v>21</v>
      </c>
    </row>
    <row r="1996" spans="1:1" x14ac:dyDescent="0.25">
      <c r="A1996" s="1" t="s">
        <v>0</v>
      </c>
    </row>
    <row r="1997" spans="1:1" x14ac:dyDescent="0.25">
      <c r="A1997" s="1" t="s">
        <v>1</v>
      </c>
    </row>
    <row r="1999" spans="1:1" x14ac:dyDescent="0.25">
      <c r="A1999" s="1" t="s">
        <v>2</v>
      </c>
    </row>
    <row r="2001" spans="1:1" x14ac:dyDescent="0.25">
      <c r="A2001" s="1" t="s">
        <v>229</v>
      </c>
    </row>
    <row r="2004" spans="1:1" x14ac:dyDescent="0.25">
      <c r="A2004" s="1" t="s">
        <v>4</v>
      </c>
    </row>
    <row r="2005" spans="1:1" x14ac:dyDescent="0.25">
      <c r="A2005" s="1" t="s">
        <v>5</v>
      </c>
    </row>
    <row r="2006" spans="1:1" x14ac:dyDescent="0.25">
      <c r="A2006" s="1" t="s">
        <v>6</v>
      </c>
    </row>
    <row r="2007" spans="1:1" x14ac:dyDescent="0.25">
      <c r="A2007" s="1" t="s">
        <v>7</v>
      </c>
    </row>
    <row r="2008" spans="1:1" x14ac:dyDescent="0.25">
      <c r="A2008" s="1" t="s">
        <v>8</v>
      </c>
    </row>
    <row r="2009" spans="1:1" x14ac:dyDescent="0.25">
      <c r="A2009" s="1" t="s">
        <v>9</v>
      </c>
    </row>
    <row r="2010" spans="1:1" x14ac:dyDescent="0.25">
      <c r="A2010" s="1" t="s">
        <v>10</v>
      </c>
    </row>
    <row r="2011" spans="1:1" x14ac:dyDescent="0.25">
      <c r="A2011" s="1" t="s">
        <v>11</v>
      </c>
    </row>
    <row r="2012" spans="1:1" x14ac:dyDescent="0.25">
      <c r="A2012" s="1" t="s">
        <v>230</v>
      </c>
    </row>
    <row r="2013" spans="1:1" x14ac:dyDescent="0.25">
      <c r="A2013" s="1" t="s">
        <v>13</v>
      </c>
    </row>
    <row r="2014" spans="1:1" x14ac:dyDescent="0.25">
      <c r="A2014" s="1" t="s">
        <v>231</v>
      </c>
    </row>
    <row r="2015" spans="1:1" x14ac:dyDescent="0.25">
      <c r="A2015" s="1" t="s">
        <v>15</v>
      </c>
    </row>
    <row r="2016" spans="1:1" x14ac:dyDescent="0.25">
      <c r="A2016" s="1" t="s">
        <v>217</v>
      </c>
    </row>
    <row r="2017" spans="1:1" x14ac:dyDescent="0.25">
      <c r="A2017" s="1" t="s">
        <v>17</v>
      </c>
    </row>
    <row r="2018" spans="1:1" x14ac:dyDescent="0.25">
      <c r="A2018" s="1" t="s">
        <v>232</v>
      </c>
    </row>
    <row r="2019" spans="1:1" x14ac:dyDescent="0.25">
      <c r="A2019" s="1" t="s">
        <v>17</v>
      </c>
    </row>
    <row r="2020" spans="1:1" x14ac:dyDescent="0.25">
      <c r="A2020" s="1" t="s">
        <v>233</v>
      </c>
    </row>
    <row r="2021" spans="1:1" x14ac:dyDescent="0.25">
      <c r="A2021" s="1" t="s">
        <v>20</v>
      </c>
    </row>
    <row r="2022" spans="1:1" x14ac:dyDescent="0.25">
      <c r="A2022" s="1" t="s">
        <v>21</v>
      </c>
    </row>
    <row r="2039" spans="1:1" x14ac:dyDescent="0.25">
      <c r="A2039" s="1" t="s">
        <v>0</v>
      </c>
    </row>
    <row r="2040" spans="1:1" x14ac:dyDescent="0.25">
      <c r="A2040" s="1" t="s">
        <v>1</v>
      </c>
    </row>
    <row r="2042" spans="1:1" x14ac:dyDescent="0.25">
      <c r="A2042" s="1" t="s">
        <v>2</v>
      </c>
    </row>
    <row r="2044" spans="1:1" x14ac:dyDescent="0.25">
      <c r="A2044" s="1" t="s">
        <v>234</v>
      </c>
    </row>
    <row r="2047" spans="1:1" x14ac:dyDescent="0.25">
      <c r="A2047" s="1" t="s">
        <v>4</v>
      </c>
    </row>
    <row r="2048" spans="1:1" x14ac:dyDescent="0.25">
      <c r="A2048" s="1" t="s">
        <v>5</v>
      </c>
    </row>
    <row r="2049" spans="1:1" x14ac:dyDescent="0.25">
      <c r="A2049" s="1" t="s">
        <v>6</v>
      </c>
    </row>
    <row r="2050" spans="1:1" x14ac:dyDescent="0.25">
      <c r="A2050" s="1" t="s">
        <v>7</v>
      </c>
    </row>
    <row r="2051" spans="1:1" x14ac:dyDescent="0.25">
      <c r="A2051" s="1" t="s">
        <v>8</v>
      </c>
    </row>
    <row r="2052" spans="1:1" x14ac:dyDescent="0.25">
      <c r="A2052" s="1" t="s">
        <v>9</v>
      </c>
    </row>
    <row r="2053" spans="1:1" x14ac:dyDescent="0.25">
      <c r="A2053" s="1" t="s">
        <v>10</v>
      </c>
    </row>
    <row r="2054" spans="1:1" x14ac:dyDescent="0.25">
      <c r="A2054" s="1" t="s">
        <v>11</v>
      </c>
    </row>
    <row r="2055" spans="1:1" x14ac:dyDescent="0.25">
      <c r="A2055" s="1" t="s">
        <v>235</v>
      </c>
    </row>
    <row r="2056" spans="1:1" x14ac:dyDescent="0.25">
      <c r="A2056" s="1" t="s">
        <v>13</v>
      </c>
    </row>
    <row r="2057" spans="1:1" x14ac:dyDescent="0.25">
      <c r="A2057" s="1" t="s">
        <v>236</v>
      </c>
    </row>
    <row r="2058" spans="1:1" x14ac:dyDescent="0.25">
      <c r="A2058" s="1" t="s">
        <v>15</v>
      </c>
    </row>
    <row r="2059" spans="1:1" x14ac:dyDescent="0.25">
      <c r="A2059" s="1" t="s">
        <v>237</v>
      </c>
    </row>
    <row r="2060" spans="1:1" x14ac:dyDescent="0.25">
      <c r="A2060" s="1" t="s">
        <v>17</v>
      </c>
    </row>
    <row r="2061" spans="1:1" x14ac:dyDescent="0.25">
      <c r="A2061" s="1" t="s">
        <v>238</v>
      </c>
    </row>
    <row r="2062" spans="1:1" x14ac:dyDescent="0.25">
      <c r="A2062" s="1" t="s">
        <v>17</v>
      </c>
    </row>
    <row r="2063" spans="1:1" x14ac:dyDescent="0.25">
      <c r="A2063" s="1" t="s">
        <v>239</v>
      </c>
    </row>
    <row r="2064" spans="1:1" x14ac:dyDescent="0.25">
      <c r="A2064" s="1" t="s">
        <v>20</v>
      </c>
    </row>
    <row r="2065" spans="1:1" x14ac:dyDescent="0.25">
      <c r="A2065" s="1" t="s">
        <v>21</v>
      </c>
    </row>
    <row r="2082" spans="1:1" x14ac:dyDescent="0.25">
      <c r="A2082" s="1" t="s">
        <v>0</v>
      </c>
    </row>
    <row r="2083" spans="1:1" x14ac:dyDescent="0.25">
      <c r="A2083" s="1" t="s">
        <v>1</v>
      </c>
    </row>
    <row r="2085" spans="1:1" x14ac:dyDescent="0.25">
      <c r="A2085" s="1" t="s">
        <v>2</v>
      </c>
    </row>
    <row r="2087" spans="1:1" x14ac:dyDescent="0.25">
      <c r="A2087" s="1" t="s">
        <v>240</v>
      </c>
    </row>
    <row r="2090" spans="1:1" x14ac:dyDescent="0.25">
      <c r="A2090" s="1" t="s">
        <v>4</v>
      </c>
    </row>
    <row r="2091" spans="1:1" x14ac:dyDescent="0.25">
      <c r="A2091" s="1" t="s">
        <v>5</v>
      </c>
    </row>
    <row r="2092" spans="1:1" x14ac:dyDescent="0.25">
      <c r="A2092" s="1" t="s">
        <v>6</v>
      </c>
    </row>
    <row r="2093" spans="1:1" x14ac:dyDescent="0.25">
      <c r="A2093" s="1" t="s">
        <v>7</v>
      </c>
    </row>
    <row r="2094" spans="1:1" x14ac:dyDescent="0.25">
      <c r="A2094" s="1" t="s">
        <v>8</v>
      </c>
    </row>
    <row r="2095" spans="1:1" x14ac:dyDescent="0.25">
      <c r="A2095" s="1" t="s">
        <v>9</v>
      </c>
    </row>
    <row r="2096" spans="1:1" x14ac:dyDescent="0.25">
      <c r="A2096" s="1" t="s">
        <v>10</v>
      </c>
    </row>
    <row r="2097" spans="1:1" x14ac:dyDescent="0.25">
      <c r="A2097" s="1" t="s">
        <v>11</v>
      </c>
    </row>
    <row r="2098" spans="1:1" x14ac:dyDescent="0.25">
      <c r="A2098" s="1" t="s">
        <v>123</v>
      </c>
    </row>
    <row r="2099" spans="1:1" x14ac:dyDescent="0.25">
      <c r="A2099" s="1" t="s">
        <v>13</v>
      </c>
    </row>
    <row r="2100" spans="1:1" x14ac:dyDescent="0.25">
      <c r="A2100" s="1" t="s">
        <v>241</v>
      </c>
    </row>
    <row r="2101" spans="1:1" x14ac:dyDescent="0.25">
      <c r="A2101" s="1" t="s">
        <v>15</v>
      </c>
    </row>
    <row r="2102" spans="1:1" x14ac:dyDescent="0.25">
      <c r="A2102" s="1" t="s">
        <v>31</v>
      </c>
    </row>
    <row r="2103" spans="1:1" x14ac:dyDescent="0.25">
      <c r="A2103" s="1" t="s">
        <v>17</v>
      </c>
    </row>
    <row r="2104" spans="1:1" x14ac:dyDescent="0.25">
      <c r="A2104" s="1" t="s">
        <v>242</v>
      </c>
    </row>
    <row r="2105" spans="1:1" x14ac:dyDescent="0.25">
      <c r="A2105" s="1" t="s">
        <v>17</v>
      </c>
    </row>
    <row r="2106" spans="1:1" x14ac:dyDescent="0.25">
      <c r="A2106" s="1" t="s">
        <v>243</v>
      </c>
    </row>
    <row r="2107" spans="1:1" x14ac:dyDescent="0.25">
      <c r="A2107" s="1" t="s">
        <v>20</v>
      </c>
    </row>
    <row r="2108" spans="1:1" x14ac:dyDescent="0.25">
      <c r="A2108" s="1" t="s">
        <v>21</v>
      </c>
    </row>
    <row r="2125" spans="1:1" x14ac:dyDescent="0.25">
      <c r="A2125" s="1" t="s">
        <v>0</v>
      </c>
    </row>
    <row r="2126" spans="1:1" x14ac:dyDescent="0.25">
      <c r="A2126" s="1" t="s">
        <v>1</v>
      </c>
    </row>
    <row r="2128" spans="1:1" x14ac:dyDescent="0.25">
      <c r="A2128" s="1" t="s">
        <v>2</v>
      </c>
    </row>
    <row r="2130" spans="1:1" x14ac:dyDescent="0.25">
      <c r="A2130" s="1" t="s">
        <v>244</v>
      </c>
    </row>
    <row r="2133" spans="1:1" x14ac:dyDescent="0.25">
      <c r="A2133" s="1" t="s">
        <v>4</v>
      </c>
    </row>
    <row r="2134" spans="1:1" x14ac:dyDescent="0.25">
      <c r="A2134" s="1" t="s">
        <v>5</v>
      </c>
    </row>
    <row r="2135" spans="1:1" x14ac:dyDescent="0.25">
      <c r="A2135" s="1" t="s">
        <v>6</v>
      </c>
    </row>
    <row r="2136" spans="1:1" x14ac:dyDescent="0.25">
      <c r="A2136" s="1" t="s">
        <v>7</v>
      </c>
    </row>
    <row r="2137" spans="1:1" x14ac:dyDescent="0.25">
      <c r="A2137" s="1" t="s">
        <v>8</v>
      </c>
    </row>
    <row r="2138" spans="1:1" x14ac:dyDescent="0.25">
      <c r="A2138" s="1" t="s">
        <v>9</v>
      </c>
    </row>
    <row r="2139" spans="1:1" x14ac:dyDescent="0.25">
      <c r="A2139" s="1" t="s">
        <v>10</v>
      </c>
    </row>
    <row r="2140" spans="1:1" x14ac:dyDescent="0.25">
      <c r="A2140" s="1" t="s">
        <v>11</v>
      </c>
    </row>
    <row r="2141" spans="1:1" x14ac:dyDescent="0.25">
      <c r="A2141" s="1" t="s">
        <v>245</v>
      </c>
    </row>
    <row r="2142" spans="1:1" x14ac:dyDescent="0.25">
      <c r="A2142" s="1" t="s">
        <v>13</v>
      </c>
    </row>
    <row r="2143" spans="1:1" x14ac:dyDescent="0.25">
      <c r="A2143" s="1" t="s">
        <v>246</v>
      </c>
    </row>
    <row r="2144" spans="1:1" x14ac:dyDescent="0.25">
      <c r="A2144" s="1" t="s">
        <v>15</v>
      </c>
    </row>
    <row r="2145" spans="1:1" x14ac:dyDescent="0.25">
      <c r="A2145" s="1" t="s">
        <v>247</v>
      </c>
    </row>
    <row r="2146" spans="1:1" x14ac:dyDescent="0.25">
      <c r="A2146" s="1" t="s">
        <v>17</v>
      </c>
    </row>
    <row r="2147" spans="1:1" x14ac:dyDescent="0.25">
      <c r="A2147" s="1" t="s">
        <v>248</v>
      </c>
    </row>
    <row r="2148" spans="1:1" x14ac:dyDescent="0.25">
      <c r="A2148" s="1" t="s">
        <v>17</v>
      </c>
    </row>
    <row r="2149" spans="1:1" x14ac:dyDescent="0.25">
      <c r="A2149" s="1" t="s">
        <v>249</v>
      </c>
    </row>
    <row r="2150" spans="1:1" x14ac:dyDescent="0.25">
      <c r="A2150" s="1" t="s">
        <v>20</v>
      </c>
    </row>
    <row r="2151" spans="1:1" x14ac:dyDescent="0.25">
      <c r="A2151" s="1" t="s">
        <v>21</v>
      </c>
    </row>
    <row r="2168" spans="1:1" x14ac:dyDescent="0.25">
      <c r="A2168" s="1" t="s">
        <v>0</v>
      </c>
    </row>
    <row r="2169" spans="1:1" x14ac:dyDescent="0.25">
      <c r="A2169" s="1" t="s">
        <v>1</v>
      </c>
    </row>
    <row r="2171" spans="1:1" x14ac:dyDescent="0.25">
      <c r="A2171" s="1" t="s">
        <v>2</v>
      </c>
    </row>
    <row r="2173" spans="1:1" x14ac:dyDescent="0.25">
      <c r="A2173" s="1" t="s">
        <v>250</v>
      </c>
    </row>
    <row r="2176" spans="1:1" x14ac:dyDescent="0.25">
      <c r="A2176" s="1" t="s">
        <v>4</v>
      </c>
    </row>
    <row r="2177" spans="1:1" x14ac:dyDescent="0.25">
      <c r="A2177" s="1" t="s">
        <v>5</v>
      </c>
    </row>
    <row r="2178" spans="1:1" x14ac:dyDescent="0.25">
      <c r="A2178" s="1" t="s">
        <v>6</v>
      </c>
    </row>
    <row r="2179" spans="1:1" x14ac:dyDescent="0.25">
      <c r="A2179" s="1" t="s">
        <v>7</v>
      </c>
    </row>
    <row r="2180" spans="1:1" x14ac:dyDescent="0.25">
      <c r="A2180" s="1" t="s">
        <v>8</v>
      </c>
    </row>
    <row r="2181" spans="1:1" x14ac:dyDescent="0.25">
      <c r="A2181" s="1" t="s">
        <v>9</v>
      </c>
    </row>
    <row r="2182" spans="1:1" x14ac:dyDescent="0.25">
      <c r="A2182" s="1" t="s">
        <v>10</v>
      </c>
    </row>
    <row r="2183" spans="1:1" x14ac:dyDescent="0.25">
      <c r="A2183" s="1" t="s">
        <v>11</v>
      </c>
    </row>
    <row r="2184" spans="1:1" x14ac:dyDescent="0.25">
      <c r="A2184" s="1" t="s">
        <v>29</v>
      </c>
    </row>
    <row r="2185" spans="1:1" x14ac:dyDescent="0.25">
      <c r="A2185" s="1" t="s">
        <v>13</v>
      </c>
    </row>
    <row r="2186" spans="1:1" x14ac:dyDescent="0.25">
      <c r="A2186" s="1" t="s">
        <v>42</v>
      </c>
    </row>
    <row r="2187" spans="1:1" x14ac:dyDescent="0.25">
      <c r="A2187" s="1" t="s">
        <v>15</v>
      </c>
    </row>
    <row r="2188" spans="1:1" x14ac:dyDescent="0.25">
      <c r="A2188" s="1" t="s">
        <v>37</v>
      </c>
    </row>
    <row r="2189" spans="1:1" x14ac:dyDescent="0.25">
      <c r="A2189" s="1" t="s">
        <v>17</v>
      </c>
    </row>
    <row r="2190" spans="1:1" x14ac:dyDescent="0.25">
      <c r="A2190" s="1" t="s">
        <v>251</v>
      </c>
    </row>
    <row r="2191" spans="1:1" x14ac:dyDescent="0.25">
      <c r="A2191" s="1" t="s">
        <v>17</v>
      </c>
    </row>
    <row r="2192" spans="1:1" x14ac:dyDescent="0.25">
      <c r="A2192" s="1" t="s">
        <v>252</v>
      </c>
    </row>
    <row r="2193" spans="1:1" x14ac:dyDescent="0.25">
      <c r="A2193" s="1" t="s">
        <v>20</v>
      </c>
    </row>
    <row r="2194" spans="1:1" x14ac:dyDescent="0.25">
      <c r="A2194" s="1" t="s">
        <v>21</v>
      </c>
    </row>
    <row r="2211" spans="1:1" x14ac:dyDescent="0.25">
      <c r="A2211" s="1" t="s">
        <v>0</v>
      </c>
    </row>
    <row r="2212" spans="1:1" x14ac:dyDescent="0.25">
      <c r="A2212" s="1" t="s">
        <v>1</v>
      </c>
    </row>
    <row r="2214" spans="1:1" x14ac:dyDescent="0.25">
      <c r="A2214" s="1" t="s">
        <v>2</v>
      </c>
    </row>
    <row r="2216" spans="1:1" x14ac:dyDescent="0.25">
      <c r="A2216" s="1" t="s">
        <v>253</v>
      </c>
    </row>
    <row r="2219" spans="1:1" x14ac:dyDescent="0.25">
      <c r="A2219" s="1" t="s">
        <v>4</v>
      </c>
    </row>
    <row r="2220" spans="1:1" x14ac:dyDescent="0.25">
      <c r="A2220" s="1" t="s">
        <v>5</v>
      </c>
    </row>
    <row r="2221" spans="1:1" x14ac:dyDescent="0.25">
      <c r="A2221" s="1" t="s">
        <v>6</v>
      </c>
    </row>
    <row r="2222" spans="1:1" x14ac:dyDescent="0.25">
      <c r="A2222" s="1" t="s">
        <v>7</v>
      </c>
    </row>
    <row r="2223" spans="1:1" x14ac:dyDescent="0.25">
      <c r="A2223" s="1" t="s">
        <v>8</v>
      </c>
    </row>
    <row r="2224" spans="1:1" x14ac:dyDescent="0.25">
      <c r="A2224" s="1" t="s">
        <v>9</v>
      </c>
    </row>
    <row r="2225" spans="1:1" x14ac:dyDescent="0.25">
      <c r="A2225" s="1" t="s">
        <v>10</v>
      </c>
    </row>
    <row r="2226" spans="1:1" x14ac:dyDescent="0.25">
      <c r="A2226" s="1" t="s">
        <v>11</v>
      </c>
    </row>
    <row r="2227" spans="1:1" x14ac:dyDescent="0.25">
      <c r="A2227" s="1" t="s">
        <v>254</v>
      </c>
    </row>
    <row r="2228" spans="1:1" x14ac:dyDescent="0.25">
      <c r="A2228" s="1" t="s">
        <v>13</v>
      </c>
    </row>
    <row r="2229" spans="1:1" x14ac:dyDescent="0.25">
      <c r="A2229" s="1" t="s">
        <v>255</v>
      </c>
    </row>
    <row r="2230" spans="1:1" x14ac:dyDescent="0.25">
      <c r="A2230" s="1" t="s">
        <v>15</v>
      </c>
    </row>
    <row r="2231" spans="1:1" x14ac:dyDescent="0.25">
      <c r="A2231" s="1" t="s">
        <v>256</v>
      </c>
    </row>
    <row r="2232" spans="1:1" x14ac:dyDescent="0.25">
      <c r="A2232" s="1" t="s">
        <v>17</v>
      </c>
    </row>
    <row r="2233" spans="1:1" x14ac:dyDescent="0.25">
      <c r="A2233" s="1" t="s">
        <v>257</v>
      </c>
    </row>
    <row r="2234" spans="1:1" x14ac:dyDescent="0.25">
      <c r="A2234" s="1" t="s">
        <v>17</v>
      </c>
    </row>
    <row r="2235" spans="1:1" x14ac:dyDescent="0.25">
      <c r="A2235" s="1" t="s">
        <v>258</v>
      </c>
    </row>
    <row r="2236" spans="1:1" x14ac:dyDescent="0.25">
      <c r="A2236" s="1" t="s">
        <v>20</v>
      </c>
    </row>
    <row r="2237" spans="1:1" x14ac:dyDescent="0.25">
      <c r="A2237" s="1" t="s">
        <v>21</v>
      </c>
    </row>
    <row r="2254" spans="1:1" x14ac:dyDescent="0.25">
      <c r="A2254" s="1" t="s">
        <v>0</v>
      </c>
    </row>
    <row r="2255" spans="1:1" x14ac:dyDescent="0.25">
      <c r="A2255" s="1" t="s">
        <v>1</v>
      </c>
    </row>
    <row r="2257" spans="1:1" x14ac:dyDescent="0.25">
      <c r="A2257" s="1" t="s">
        <v>2</v>
      </c>
    </row>
    <row r="2259" spans="1:1" x14ac:dyDescent="0.25">
      <c r="A2259" s="1" t="s">
        <v>259</v>
      </c>
    </row>
    <row r="2262" spans="1:1" x14ac:dyDescent="0.25">
      <c r="A2262" s="1" t="s">
        <v>4</v>
      </c>
    </row>
    <row r="2263" spans="1:1" x14ac:dyDescent="0.25">
      <c r="A2263" s="1" t="s">
        <v>5</v>
      </c>
    </row>
    <row r="2264" spans="1:1" x14ac:dyDescent="0.25">
      <c r="A2264" s="1" t="s">
        <v>6</v>
      </c>
    </row>
    <row r="2265" spans="1:1" x14ac:dyDescent="0.25">
      <c r="A2265" s="1" t="s">
        <v>7</v>
      </c>
    </row>
    <row r="2266" spans="1:1" x14ac:dyDescent="0.25">
      <c r="A2266" s="1" t="s">
        <v>8</v>
      </c>
    </row>
    <row r="2267" spans="1:1" x14ac:dyDescent="0.25">
      <c r="A2267" s="1" t="s">
        <v>9</v>
      </c>
    </row>
    <row r="2268" spans="1:1" x14ac:dyDescent="0.25">
      <c r="A2268" s="1" t="s">
        <v>10</v>
      </c>
    </row>
    <row r="2269" spans="1:1" x14ac:dyDescent="0.25">
      <c r="A2269" s="1" t="s">
        <v>11</v>
      </c>
    </row>
    <row r="2270" spans="1:1" x14ac:dyDescent="0.25">
      <c r="A2270" s="1" t="s">
        <v>260</v>
      </c>
    </row>
    <row r="2271" spans="1:1" x14ac:dyDescent="0.25">
      <c r="A2271" s="1" t="s">
        <v>13</v>
      </c>
    </row>
    <row r="2272" spans="1:1" x14ac:dyDescent="0.25">
      <c r="A2272" s="1" t="s">
        <v>261</v>
      </c>
    </row>
    <row r="2273" spans="1:1" x14ac:dyDescent="0.25">
      <c r="A2273" s="1" t="s">
        <v>15</v>
      </c>
    </row>
    <row r="2274" spans="1:1" x14ac:dyDescent="0.25">
      <c r="A2274" s="1" t="s">
        <v>262</v>
      </c>
    </row>
    <row r="2275" spans="1:1" x14ac:dyDescent="0.25">
      <c r="A2275" s="1" t="s">
        <v>17</v>
      </c>
    </row>
    <row r="2276" spans="1:1" x14ac:dyDescent="0.25">
      <c r="A2276" s="1" t="s">
        <v>263</v>
      </c>
    </row>
    <row r="2277" spans="1:1" x14ac:dyDescent="0.25">
      <c r="A2277" s="1" t="s">
        <v>17</v>
      </c>
    </row>
    <row r="2278" spans="1:1" x14ac:dyDescent="0.25">
      <c r="A2278" s="1" t="s">
        <v>264</v>
      </c>
    </row>
    <row r="2279" spans="1:1" x14ac:dyDescent="0.25">
      <c r="A2279" s="1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B27" sqref="B27:B28"/>
    </sheetView>
  </sheetViews>
  <sheetFormatPr baseColWidth="10" defaultRowHeight="15" x14ac:dyDescent="0.25"/>
  <sheetData>
    <row r="1" spans="1:2" x14ac:dyDescent="0.25">
      <c r="A1" t="s">
        <v>271</v>
      </c>
      <c r="B1" t="s">
        <v>272</v>
      </c>
    </row>
    <row r="2" spans="1:2" x14ac:dyDescent="0.25">
      <c r="A2" t="s">
        <v>270</v>
      </c>
      <c r="B2">
        <v>33</v>
      </c>
    </row>
    <row r="3" spans="1:2" x14ac:dyDescent="0.25">
      <c r="A3" s="2" t="s">
        <v>265</v>
      </c>
      <c r="B3">
        <v>1</v>
      </c>
    </row>
    <row r="4" spans="1:2" x14ac:dyDescent="0.25">
      <c r="A4" s="2" t="s">
        <v>270</v>
      </c>
      <c r="B4">
        <v>1</v>
      </c>
    </row>
    <row r="5" spans="1:2" x14ac:dyDescent="0.25">
      <c r="A5" s="2" t="s">
        <v>266</v>
      </c>
      <c r="B5">
        <v>1</v>
      </c>
    </row>
    <row r="6" spans="1:2" x14ac:dyDescent="0.25">
      <c r="A6" s="2" t="s">
        <v>270</v>
      </c>
      <c r="B6">
        <v>1</v>
      </c>
    </row>
    <row r="7" spans="1:2" x14ac:dyDescent="0.25">
      <c r="A7" s="2" t="s">
        <v>267</v>
      </c>
      <c r="B7">
        <v>1</v>
      </c>
    </row>
    <row r="8" spans="1:2" x14ac:dyDescent="0.25">
      <c r="A8" s="2" t="s">
        <v>270</v>
      </c>
      <c r="B8">
        <v>1</v>
      </c>
    </row>
    <row r="9" spans="1:2" x14ac:dyDescent="0.25">
      <c r="A9" s="2" t="s">
        <v>268</v>
      </c>
      <c r="B9">
        <v>1</v>
      </c>
    </row>
    <row r="10" spans="1:2" x14ac:dyDescent="0.25">
      <c r="A10" t="s">
        <v>270</v>
      </c>
      <c r="B10">
        <v>1</v>
      </c>
    </row>
    <row r="11" spans="1:2" x14ac:dyDescent="0.25">
      <c r="A11" s="2" t="s">
        <v>269</v>
      </c>
      <c r="B11">
        <v>1</v>
      </c>
    </row>
    <row r="12" spans="1:2" x14ac:dyDescent="0.25">
      <c r="A12" t="s">
        <v>270</v>
      </c>
      <c r="B12">
        <v>1</v>
      </c>
    </row>
    <row r="15" spans="1:2" x14ac:dyDescent="0.25">
      <c r="A15" t="str">
        <f>CONCATENATE("c(",A2,",")</f>
        <v>c(NA,</v>
      </c>
      <c r="B15" t="str">
        <f>CONCATENATE("c(",B2,",")</f>
        <v>c(33,</v>
      </c>
    </row>
    <row r="16" spans="1:2" x14ac:dyDescent="0.25">
      <c r="A16" t="str">
        <f>CONCATENATE(A15,A3,",")</f>
        <v>c(NA,'Con oferta previa y envío',</v>
      </c>
      <c r="B16" t="str">
        <f>CONCATENATE(B15,B3,",")</f>
        <v>c(33,1,</v>
      </c>
    </row>
    <row r="17" spans="1:2" x14ac:dyDescent="0.25">
      <c r="A17" t="str">
        <f>CONCATENATE(A16,A4,",")</f>
        <v>c(NA,'Con oferta previa y envío',NA,</v>
      </c>
      <c r="B17" t="str">
        <f>CONCATENATE(B16,B4,",")</f>
        <v>c(33,1,1,</v>
      </c>
    </row>
    <row r="18" spans="1:2" x14ac:dyDescent="0.25">
      <c r="A18" t="str">
        <f>CONCATENATE(A17,A5,",")</f>
        <v>c(NA,'Con oferta previa y envío',NA,'Con oferta previa sin envío',</v>
      </c>
      <c r="B18" t="str">
        <f>CONCATENATE(B17,B5,",")</f>
        <v>c(33,1,1,1,</v>
      </c>
    </row>
    <row r="19" spans="1:2" x14ac:dyDescent="0.25">
      <c r="A19" t="str">
        <f>CONCATENATE(A18,A6,",")</f>
        <v>c(NA,'Con oferta previa y envío',NA,'Con oferta previa sin envío',NA,</v>
      </c>
      <c r="B19" t="str">
        <f>CONCATENATE(B18,B6,",")</f>
        <v>c(33,1,1,1,1,</v>
      </c>
    </row>
    <row r="20" spans="1:2" x14ac:dyDescent="0.25">
      <c r="A20" t="str">
        <f>CONCATENATE(A19,A7,",")</f>
        <v>c(NA,'Con oferta previa y envío',NA,'Con oferta previa sin envío',NA,'Con oferta previa sin gestionar',</v>
      </c>
      <c r="B20" t="str">
        <f>CONCATENATE(B19,B7,",")</f>
        <v>c(33,1,1,1,1,1,</v>
      </c>
    </row>
    <row r="21" spans="1:2" x14ac:dyDescent="0.25">
      <c r="A21" t="str">
        <f>CONCATENATE(A20,A8,",")</f>
        <v>c(NA,'Con oferta previa y envío',NA,'Con oferta previa sin envío',NA,'Con oferta previa sin gestionar',NA,</v>
      </c>
      <c r="B21" t="str">
        <f>CONCATENATE(B20,B8,",")</f>
        <v>c(33,1,1,1,1,1,1,</v>
      </c>
    </row>
    <row r="22" spans="1:2" x14ac:dyDescent="0.25">
      <c r="A22" t="str">
        <f>CONCATENATE(A21,A9,",")</f>
        <v>c(NA,'Con oferta previa y envío',NA,'Con oferta previa sin envío',NA,'Con oferta previa sin gestionar',NA,'Sin oferta previa',</v>
      </c>
      <c r="B22" t="str">
        <f>CONCATENATE(B21,B9,",")</f>
        <v>c(33,1,1,1,1,1,1,1,</v>
      </c>
    </row>
    <row r="23" spans="1:2" x14ac:dyDescent="0.25">
      <c r="A23" t="str">
        <f>CONCATENATE(A22,A10,",")</f>
        <v>c(NA,'Con oferta previa y envío',NA,'Con oferta previa sin envío',NA,'Con oferta previa sin gestionar',NA,'Sin oferta previa',NA,</v>
      </c>
      <c r="B23" t="str">
        <f>CONCATENATE(B22,B10,",")</f>
        <v>c(33,1,1,1,1,1,1,1,1,</v>
      </c>
    </row>
    <row r="24" spans="1:2" x14ac:dyDescent="0.25">
      <c r="A24" t="str">
        <f>CONCATENATE(A23,A11,",")</f>
        <v>c(NA,'Con oferta previa y envío',NA,'Con oferta previa sin envío',NA,'Con oferta previa sin gestionar',NA,'Sin oferta previa',NA,'Total,</v>
      </c>
      <c r="B24" t="str">
        <f>CONCATENATE(B23,B11,",")</f>
        <v>c(33,1,1,1,1,1,1,1,1,1,</v>
      </c>
    </row>
    <row r="25" spans="1:2" x14ac:dyDescent="0.25">
      <c r="A25" t="str">
        <f>CONCATENATE(A24,A12,")")</f>
        <v>c(NA,'Con oferta previa y envío',NA,'Con oferta previa sin envío',NA,'Con oferta previa sin gestionar',NA,'Sin oferta previa',NA,'Total,NA)</v>
      </c>
      <c r="B25" t="str">
        <f>CONCATENATE(B24,B12,")")</f>
        <v>c(33,1,1,1,1,1,1,1,1,1,1)</v>
      </c>
    </row>
    <row r="27" spans="1:2" x14ac:dyDescent="0.25">
      <c r="B27" t="s">
        <v>273</v>
      </c>
    </row>
    <row r="28" spans="1:2" x14ac:dyDescent="0.25">
      <c r="B28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TEIDCOLO_COLCLAS_201602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Isidro Hidalgo Arellano</dc:creator>
  <cp:lastModifiedBy>ihidalgo Isidro Hidalgo Arellano tfno:9252 88098</cp:lastModifiedBy>
  <dcterms:created xsi:type="dcterms:W3CDTF">2016-03-29T12:23:46Z</dcterms:created>
  <dcterms:modified xsi:type="dcterms:W3CDTF">2016-03-29T12:46:54Z</dcterms:modified>
</cp:coreProperties>
</file>